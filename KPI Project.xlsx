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hidePivotFieldList="1"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64714225-EF24-4A63-9453-87A430DB4CCE}" xr6:coauthVersionLast="47" xr6:coauthVersionMax="47" xr10:uidLastSave="{00000000-0000-0000-0000-000000000000}"/>
  <bookViews>
    <workbookView xWindow="-108" yWindow="-108" windowWidth="23256" windowHeight="12456" activeTab="5" xr2:uid="{A0AC941E-0BC6-4AD5-8016-622649A9B308}"/>
  </bookViews>
  <sheets>
    <sheet name="Sales Data" sheetId="1" r:id="rId1"/>
    <sheet name="Vlookup &amp; Xlookup " sheetId="18" r:id="rId2"/>
    <sheet name="KPI Summary" sheetId="4" r:id="rId3"/>
    <sheet name="Pivot Table" sheetId="15" r:id="rId4"/>
    <sheet name="Dashboard" sheetId="22" r:id="rId5"/>
    <sheet name="Business Insigts" sheetId="16" r:id="rId6"/>
  </sheets>
  <definedNames>
    <definedName name="Salestable">'Sales Data'!$A$1:$O$1001</definedName>
    <definedName name="Slicer_Payment_Mode">#N/A</definedName>
    <definedName name="Slicer_Product">#N/A</definedName>
    <definedName name="Slicer_Region">#N/A</definedName>
    <definedName name="Slicer_Years_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8" l="1"/>
  <c r="D5" i="18"/>
  <c r="E5" i="18"/>
  <c r="F5" i="18"/>
  <c r="C6" i="18"/>
  <c r="D6" i="18"/>
  <c r="E6" i="18"/>
  <c r="F6" i="18"/>
  <c r="S4" i="4"/>
  <c r="B11" i="4"/>
  <c r="J11" i="4"/>
  <c r="J12" i="4"/>
  <c r="J10" i="4"/>
  <c r="F11" i="4"/>
  <c r="F12" i="4"/>
  <c r="F13" i="4"/>
  <c r="F10" i="4"/>
  <c r="B12" i="4"/>
  <c r="B13" i="4"/>
  <c r="B14" i="4"/>
  <c r="B10" i="4"/>
  <c r="M3" i="1"/>
  <c r="M11" i="1"/>
  <c r="M21" i="1"/>
  <c r="M22" i="1"/>
  <c r="M27" i="1"/>
  <c r="M45" i="1"/>
  <c r="M46" i="1"/>
  <c r="M51" i="1"/>
  <c r="M69" i="1"/>
  <c r="M70" i="1"/>
  <c r="M75" i="1"/>
  <c r="M93" i="1"/>
  <c r="M94" i="1"/>
  <c r="M99" i="1"/>
  <c r="M107" i="1"/>
  <c r="M117" i="1"/>
  <c r="M118" i="1"/>
  <c r="M123" i="1"/>
  <c r="M131" i="1"/>
  <c r="M141" i="1"/>
  <c r="M142" i="1"/>
  <c r="M147" i="1"/>
  <c r="M155" i="1"/>
  <c r="M165" i="1"/>
  <c r="M166" i="1"/>
  <c r="M171" i="1"/>
  <c r="M179" i="1"/>
  <c r="M183" i="1"/>
  <c r="M189" i="1"/>
  <c r="M190" i="1"/>
  <c r="M195" i="1"/>
  <c r="M203" i="1"/>
  <c r="M207" i="1"/>
  <c r="M213" i="1"/>
  <c r="M214" i="1"/>
  <c r="M219" i="1"/>
  <c r="M227" i="1"/>
  <c r="M231" i="1"/>
  <c r="M237" i="1"/>
  <c r="M238" i="1"/>
  <c r="M243" i="1"/>
  <c r="M251" i="1"/>
  <c r="M255" i="1"/>
  <c r="M261" i="1"/>
  <c r="M262" i="1"/>
  <c r="M267" i="1"/>
  <c r="M275" i="1"/>
  <c r="M279" i="1"/>
  <c r="M285" i="1"/>
  <c r="M286" i="1"/>
  <c r="M291" i="1"/>
  <c r="M299" i="1"/>
  <c r="M303" i="1"/>
  <c r="M309" i="1"/>
  <c r="M310" i="1"/>
  <c r="M315" i="1"/>
  <c r="M323" i="1"/>
  <c r="M327" i="1"/>
  <c r="M333" i="1"/>
  <c r="M334" i="1"/>
  <c r="M339" i="1"/>
  <c r="M347" i="1"/>
  <c r="M351" i="1"/>
  <c r="M357" i="1"/>
  <c r="M358" i="1"/>
  <c r="M363" i="1"/>
  <c r="M371" i="1"/>
  <c r="M375" i="1"/>
  <c r="M381" i="1"/>
  <c r="M382" i="1"/>
  <c r="M387" i="1"/>
  <c r="M395" i="1"/>
  <c r="M399" i="1"/>
  <c r="M405" i="1"/>
  <c r="M406" i="1"/>
  <c r="M411" i="1"/>
  <c r="M419" i="1"/>
  <c r="M423" i="1"/>
  <c r="M429" i="1"/>
  <c r="M430" i="1"/>
  <c r="M435" i="1"/>
  <c r="M443" i="1"/>
  <c r="M447" i="1"/>
  <c r="M453" i="1"/>
  <c r="M454" i="1"/>
  <c r="M459" i="1"/>
  <c r="M467" i="1"/>
  <c r="M471" i="1"/>
  <c r="M477" i="1"/>
  <c r="M478" i="1"/>
  <c r="M483" i="1"/>
  <c r="M491" i="1"/>
  <c r="M495" i="1"/>
  <c r="M501" i="1"/>
  <c r="M502" i="1"/>
  <c r="M507" i="1"/>
  <c r="M515" i="1"/>
  <c r="M519" i="1"/>
  <c r="M525" i="1"/>
  <c r="M526" i="1"/>
  <c r="M539" i="1"/>
  <c r="M543" i="1"/>
  <c r="M548" i="1"/>
  <c r="M551" i="1"/>
  <c r="M579" i="1"/>
  <c r="M586" i="1"/>
  <c r="M587" i="1"/>
  <c r="M591" i="1"/>
  <c r="M599" i="1"/>
  <c r="M608" i="1"/>
  <c r="M609" i="1"/>
  <c r="M623" i="1"/>
  <c r="M627" i="1"/>
  <c r="M639" i="1"/>
  <c r="M647" i="1"/>
  <c r="M648" i="1"/>
  <c r="M663" i="1"/>
  <c r="M669" i="1"/>
  <c r="M670" i="1"/>
  <c r="M683" i="1"/>
  <c r="M687" i="1"/>
  <c r="M692" i="1"/>
  <c r="M695" i="1"/>
  <c r="M723" i="1"/>
  <c r="M730" i="1"/>
  <c r="M731" i="1"/>
  <c r="M735" i="1"/>
  <c r="M743" i="1"/>
  <c r="M752" i="1"/>
  <c r="M753" i="1"/>
  <c r="M767" i="1"/>
  <c r="M771" i="1"/>
  <c r="M783" i="1"/>
  <c r="M791" i="1"/>
  <c r="M792" i="1"/>
  <c r="M807" i="1"/>
  <c r="M813" i="1"/>
  <c r="M814" i="1"/>
  <c r="M827" i="1"/>
  <c r="M831" i="1"/>
  <c r="M836" i="1"/>
  <c r="M839" i="1"/>
  <c r="M867" i="1"/>
  <c r="M874" i="1"/>
  <c r="M875" i="1"/>
  <c r="M879" i="1"/>
  <c r="M887" i="1"/>
  <c r="M896" i="1"/>
  <c r="M897" i="1"/>
  <c r="M911" i="1"/>
  <c r="M915" i="1"/>
  <c r="M927" i="1"/>
  <c r="M935" i="1"/>
  <c r="M936" i="1"/>
  <c r="M951" i="1"/>
  <c r="M957" i="1"/>
  <c r="M958" i="1"/>
  <c r="M971" i="1"/>
  <c r="M975" i="1"/>
  <c r="M980" i="1"/>
  <c r="M983" i="1"/>
  <c r="M995" i="1"/>
  <c r="M998" i="1"/>
  <c r="K3" i="1"/>
  <c r="K4" i="1"/>
  <c r="M4" i="1" s="1"/>
  <c r="K5" i="1"/>
  <c r="M5" i="1" s="1"/>
  <c r="K6" i="1"/>
  <c r="M6" i="1" s="1"/>
  <c r="K7" i="1"/>
  <c r="M7" i="1" s="1"/>
  <c r="K8" i="1"/>
  <c r="M8" i="1" s="1"/>
  <c r="K9" i="1"/>
  <c r="M9" i="1" s="1"/>
  <c r="K10" i="1"/>
  <c r="M10" i="1" s="1"/>
  <c r="K11" i="1"/>
  <c r="K12" i="1"/>
  <c r="M12" i="1" s="1"/>
  <c r="K13" i="1"/>
  <c r="M13" i="1" s="1"/>
  <c r="K14" i="1"/>
  <c r="M14" i="1" s="1"/>
  <c r="K15" i="1"/>
  <c r="M15" i="1" s="1"/>
  <c r="K16" i="1"/>
  <c r="M16" i="1" s="1"/>
  <c r="K17" i="1"/>
  <c r="M17" i="1" s="1"/>
  <c r="K18" i="1"/>
  <c r="M18" i="1" s="1"/>
  <c r="K19" i="1"/>
  <c r="M19" i="1" s="1"/>
  <c r="K20" i="1"/>
  <c r="M20" i="1" s="1"/>
  <c r="K21" i="1"/>
  <c r="K22" i="1"/>
  <c r="K23" i="1"/>
  <c r="M23" i="1" s="1"/>
  <c r="K24" i="1"/>
  <c r="M24" i="1" s="1"/>
  <c r="K25" i="1"/>
  <c r="M25" i="1" s="1"/>
  <c r="K26" i="1"/>
  <c r="M26" i="1" s="1"/>
  <c r="K27" i="1"/>
  <c r="K28" i="1"/>
  <c r="M28" i="1" s="1"/>
  <c r="K29" i="1"/>
  <c r="M29" i="1" s="1"/>
  <c r="K30" i="1"/>
  <c r="M30" i="1" s="1"/>
  <c r="K31" i="1"/>
  <c r="M31" i="1" s="1"/>
  <c r="K32" i="1"/>
  <c r="M32" i="1" s="1"/>
  <c r="K33" i="1"/>
  <c r="M33" i="1" s="1"/>
  <c r="K34" i="1"/>
  <c r="M34" i="1" s="1"/>
  <c r="K35" i="1"/>
  <c r="M35" i="1" s="1"/>
  <c r="K36" i="1"/>
  <c r="M36" i="1" s="1"/>
  <c r="K37" i="1"/>
  <c r="M37" i="1" s="1"/>
  <c r="K38" i="1"/>
  <c r="M38" i="1" s="1"/>
  <c r="K39" i="1"/>
  <c r="M39" i="1" s="1"/>
  <c r="K40" i="1"/>
  <c r="M40" i="1" s="1"/>
  <c r="K41" i="1"/>
  <c r="M41" i="1" s="1"/>
  <c r="K42" i="1"/>
  <c r="M42" i="1" s="1"/>
  <c r="K43" i="1"/>
  <c r="M43" i="1" s="1"/>
  <c r="K44" i="1"/>
  <c r="M44" i="1" s="1"/>
  <c r="K45" i="1"/>
  <c r="K46" i="1"/>
  <c r="K47" i="1"/>
  <c r="M47" i="1" s="1"/>
  <c r="K48" i="1"/>
  <c r="M48" i="1" s="1"/>
  <c r="K49" i="1"/>
  <c r="M49" i="1" s="1"/>
  <c r="K50" i="1"/>
  <c r="M50" i="1" s="1"/>
  <c r="K51" i="1"/>
  <c r="K52" i="1"/>
  <c r="M52" i="1" s="1"/>
  <c r="K53" i="1"/>
  <c r="M53" i="1" s="1"/>
  <c r="K54" i="1"/>
  <c r="M54" i="1" s="1"/>
  <c r="K55" i="1"/>
  <c r="M55" i="1" s="1"/>
  <c r="K56" i="1"/>
  <c r="M56" i="1" s="1"/>
  <c r="K57" i="1"/>
  <c r="M57" i="1" s="1"/>
  <c r="K58" i="1"/>
  <c r="M58" i="1" s="1"/>
  <c r="K59" i="1"/>
  <c r="M59" i="1" s="1"/>
  <c r="K60" i="1"/>
  <c r="M60" i="1" s="1"/>
  <c r="K61" i="1"/>
  <c r="M61" i="1" s="1"/>
  <c r="K62" i="1"/>
  <c r="M62" i="1" s="1"/>
  <c r="K63" i="1"/>
  <c r="M63" i="1" s="1"/>
  <c r="K64" i="1"/>
  <c r="M64" i="1" s="1"/>
  <c r="K65" i="1"/>
  <c r="M65" i="1" s="1"/>
  <c r="K66" i="1"/>
  <c r="M66" i="1" s="1"/>
  <c r="K67" i="1"/>
  <c r="M67" i="1" s="1"/>
  <c r="K68" i="1"/>
  <c r="M68" i="1" s="1"/>
  <c r="K69" i="1"/>
  <c r="K70" i="1"/>
  <c r="K71" i="1"/>
  <c r="M71" i="1" s="1"/>
  <c r="K72" i="1"/>
  <c r="M72" i="1" s="1"/>
  <c r="K73" i="1"/>
  <c r="M73" i="1" s="1"/>
  <c r="K74" i="1"/>
  <c r="M74" i="1" s="1"/>
  <c r="K75" i="1"/>
  <c r="K76" i="1"/>
  <c r="M76" i="1" s="1"/>
  <c r="K77" i="1"/>
  <c r="M77" i="1" s="1"/>
  <c r="K78" i="1"/>
  <c r="M78" i="1" s="1"/>
  <c r="K79" i="1"/>
  <c r="M79" i="1" s="1"/>
  <c r="K80" i="1"/>
  <c r="M80" i="1" s="1"/>
  <c r="K81" i="1"/>
  <c r="M81" i="1" s="1"/>
  <c r="K82" i="1"/>
  <c r="M82" i="1" s="1"/>
  <c r="K83" i="1"/>
  <c r="M83" i="1" s="1"/>
  <c r="K84" i="1"/>
  <c r="M84" i="1" s="1"/>
  <c r="K85" i="1"/>
  <c r="M85" i="1" s="1"/>
  <c r="K86" i="1"/>
  <c r="M86" i="1" s="1"/>
  <c r="K87" i="1"/>
  <c r="M87" i="1" s="1"/>
  <c r="K88" i="1"/>
  <c r="M88" i="1" s="1"/>
  <c r="K89" i="1"/>
  <c r="M89" i="1" s="1"/>
  <c r="K90" i="1"/>
  <c r="M90" i="1" s="1"/>
  <c r="K91" i="1"/>
  <c r="M91" i="1" s="1"/>
  <c r="K92" i="1"/>
  <c r="M92" i="1" s="1"/>
  <c r="K93" i="1"/>
  <c r="K94" i="1"/>
  <c r="K95" i="1"/>
  <c r="M95" i="1" s="1"/>
  <c r="K96" i="1"/>
  <c r="M96" i="1" s="1"/>
  <c r="K97" i="1"/>
  <c r="M97" i="1" s="1"/>
  <c r="K98" i="1"/>
  <c r="M98" i="1" s="1"/>
  <c r="K99" i="1"/>
  <c r="K100" i="1"/>
  <c r="M100" i="1" s="1"/>
  <c r="K101" i="1"/>
  <c r="M101" i="1" s="1"/>
  <c r="K102" i="1"/>
  <c r="M102" i="1" s="1"/>
  <c r="K103" i="1"/>
  <c r="M103" i="1" s="1"/>
  <c r="K104" i="1"/>
  <c r="M104" i="1" s="1"/>
  <c r="K105" i="1"/>
  <c r="M105" i="1" s="1"/>
  <c r="K106" i="1"/>
  <c r="M106" i="1" s="1"/>
  <c r="K107" i="1"/>
  <c r="K108" i="1"/>
  <c r="M108" i="1" s="1"/>
  <c r="K109" i="1"/>
  <c r="M109" i="1" s="1"/>
  <c r="K110" i="1"/>
  <c r="M110" i="1" s="1"/>
  <c r="K111" i="1"/>
  <c r="M111" i="1" s="1"/>
  <c r="K112" i="1"/>
  <c r="M112" i="1" s="1"/>
  <c r="K113" i="1"/>
  <c r="M113" i="1" s="1"/>
  <c r="K114" i="1"/>
  <c r="M114" i="1" s="1"/>
  <c r="K115" i="1"/>
  <c r="M115" i="1" s="1"/>
  <c r="K116" i="1"/>
  <c r="M116" i="1" s="1"/>
  <c r="K117" i="1"/>
  <c r="K118" i="1"/>
  <c r="K119" i="1"/>
  <c r="M119" i="1" s="1"/>
  <c r="K120" i="1"/>
  <c r="M120" i="1" s="1"/>
  <c r="K121" i="1"/>
  <c r="M121" i="1" s="1"/>
  <c r="K122" i="1"/>
  <c r="M122" i="1" s="1"/>
  <c r="K123" i="1"/>
  <c r="K124" i="1"/>
  <c r="M124" i="1" s="1"/>
  <c r="K125" i="1"/>
  <c r="M125" i="1" s="1"/>
  <c r="K126" i="1"/>
  <c r="M126" i="1" s="1"/>
  <c r="K127" i="1"/>
  <c r="M127" i="1" s="1"/>
  <c r="K128" i="1"/>
  <c r="M128" i="1" s="1"/>
  <c r="K129" i="1"/>
  <c r="M129" i="1" s="1"/>
  <c r="K130" i="1"/>
  <c r="M130" i="1" s="1"/>
  <c r="K131" i="1"/>
  <c r="K132" i="1"/>
  <c r="M132" i="1" s="1"/>
  <c r="K133" i="1"/>
  <c r="M133" i="1" s="1"/>
  <c r="K134" i="1"/>
  <c r="M134" i="1" s="1"/>
  <c r="K135" i="1"/>
  <c r="M135" i="1" s="1"/>
  <c r="K136" i="1"/>
  <c r="M136" i="1" s="1"/>
  <c r="K137" i="1"/>
  <c r="M137" i="1" s="1"/>
  <c r="K138" i="1"/>
  <c r="M138" i="1" s="1"/>
  <c r="K139" i="1"/>
  <c r="M139" i="1" s="1"/>
  <c r="K140" i="1"/>
  <c r="M140" i="1" s="1"/>
  <c r="K141" i="1"/>
  <c r="K142" i="1"/>
  <c r="K143" i="1"/>
  <c r="M143" i="1" s="1"/>
  <c r="K144" i="1"/>
  <c r="M144" i="1" s="1"/>
  <c r="K145" i="1"/>
  <c r="M145" i="1" s="1"/>
  <c r="K146" i="1"/>
  <c r="M146" i="1" s="1"/>
  <c r="K147" i="1"/>
  <c r="K148" i="1"/>
  <c r="M148" i="1" s="1"/>
  <c r="K149" i="1"/>
  <c r="M149" i="1" s="1"/>
  <c r="K150" i="1"/>
  <c r="M150" i="1" s="1"/>
  <c r="K151" i="1"/>
  <c r="M151" i="1" s="1"/>
  <c r="K152" i="1"/>
  <c r="M152" i="1" s="1"/>
  <c r="K153" i="1"/>
  <c r="M153" i="1" s="1"/>
  <c r="K154" i="1"/>
  <c r="M154" i="1" s="1"/>
  <c r="K155" i="1"/>
  <c r="K156" i="1"/>
  <c r="M156" i="1" s="1"/>
  <c r="K157" i="1"/>
  <c r="M157" i="1" s="1"/>
  <c r="K158" i="1"/>
  <c r="M158" i="1" s="1"/>
  <c r="K159" i="1"/>
  <c r="M159" i="1" s="1"/>
  <c r="K160" i="1"/>
  <c r="M160" i="1" s="1"/>
  <c r="K161" i="1"/>
  <c r="M161" i="1" s="1"/>
  <c r="K162" i="1"/>
  <c r="M162" i="1" s="1"/>
  <c r="K163" i="1"/>
  <c r="M163" i="1" s="1"/>
  <c r="K164" i="1"/>
  <c r="M164" i="1" s="1"/>
  <c r="K165" i="1"/>
  <c r="K166" i="1"/>
  <c r="K167" i="1"/>
  <c r="M167" i="1" s="1"/>
  <c r="K168" i="1"/>
  <c r="M168" i="1" s="1"/>
  <c r="K169" i="1"/>
  <c r="M169" i="1" s="1"/>
  <c r="K170" i="1"/>
  <c r="M170" i="1" s="1"/>
  <c r="K171" i="1"/>
  <c r="K172" i="1"/>
  <c r="M172" i="1" s="1"/>
  <c r="K173" i="1"/>
  <c r="M173" i="1" s="1"/>
  <c r="K174" i="1"/>
  <c r="M174" i="1" s="1"/>
  <c r="K175" i="1"/>
  <c r="M175" i="1" s="1"/>
  <c r="K176" i="1"/>
  <c r="M176" i="1" s="1"/>
  <c r="K177" i="1"/>
  <c r="M177" i="1" s="1"/>
  <c r="K178" i="1"/>
  <c r="M178" i="1" s="1"/>
  <c r="K179" i="1"/>
  <c r="K180" i="1"/>
  <c r="M180" i="1" s="1"/>
  <c r="K181" i="1"/>
  <c r="M181" i="1" s="1"/>
  <c r="K182" i="1"/>
  <c r="M182" i="1" s="1"/>
  <c r="K183" i="1"/>
  <c r="K184" i="1"/>
  <c r="M184" i="1" s="1"/>
  <c r="K185" i="1"/>
  <c r="M185" i="1" s="1"/>
  <c r="K186" i="1"/>
  <c r="M186" i="1" s="1"/>
  <c r="K187" i="1"/>
  <c r="M187" i="1" s="1"/>
  <c r="K188" i="1"/>
  <c r="M188" i="1" s="1"/>
  <c r="K189" i="1"/>
  <c r="K190" i="1"/>
  <c r="K191" i="1"/>
  <c r="M191" i="1" s="1"/>
  <c r="K192" i="1"/>
  <c r="M192" i="1" s="1"/>
  <c r="K193" i="1"/>
  <c r="M193" i="1" s="1"/>
  <c r="K194" i="1"/>
  <c r="M194" i="1" s="1"/>
  <c r="K195" i="1"/>
  <c r="K196" i="1"/>
  <c r="M196" i="1" s="1"/>
  <c r="K197" i="1"/>
  <c r="M197" i="1" s="1"/>
  <c r="K198" i="1"/>
  <c r="M198" i="1" s="1"/>
  <c r="K199" i="1"/>
  <c r="M199" i="1" s="1"/>
  <c r="K200" i="1"/>
  <c r="M200" i="1" s="1"/>
  <c r="K201" i="1"/>
  <c r="M201" i="1" s="1"/>
  <c r="K202" i="1"/>
  <c r="M202" i="1" s="1"/>
  <c r="K203" i="1"/>
  <c r="K204" i="1"/>
  <c r="M204" i="1" s="1"/>
  <c r="K205" i="1"/>
  <c r="M205" i="1" s="1"/>
  <c r="K206" i="1"/>
  <c r="M206" i="1" s="1"/>
  <c r="K207" i="1"/>
  <c r="K208" i="1"/>
  <c r="M208" i="1" s="1"/>
  <c r="K209" i="1"/>
  <c r="M209" i="1" s="1"/>
  <c r="K210" i="1"/>
  <c r="M210" i="1" s="1"/>
  <c r="K211" i="1"/>
  <c r="M211" i="1" s="1"/>
  <c r="K212" i="1"/>
  <c r="M212" i="1" s="1"/>
  <c r="K213" i="1"/>
  <c r="K214" i="1"/>
  <c r="K215" i="1"/>
  <c r="M215" i="1" s="1"/>
  <c r="K216" i="1"/>
  <c r="M216" i="1" s="1"/>
  <c r="K217" i="1"/>
  <c r="M217" i="1" s="1"/>
  <c r="K218" i="1"/>
  <c r="M218" i="1" s="1"/>
  <c r="K219" i="1"/>
  <c r="K220" i="1"/>
  <c r="M220" i="1" s="1"/>
  <c r="K221" i="1"/>
  <c r="M221" i="1" s="1"/>
  <c r="K222" i="1"/>
  <c r="M222" i="1" s="1"/>
  <c r="K223" i="1"/>
  <c r="M223" i="1" s="1"/>
  <c r="K224" i="1"/>
  <c r="M224" i="1" s="1"/>
  <c r="K225" i="1"/>
  <c r="M225" i="1" s="1"/>
  <c r="K226" i="1"/>
  <c r="M226" i="1" s="1"/>
  <c r="K227" i="1"/>
  <c r="K228" i="1"/>
  <c r="M228" i="1" s="1"/>
  <c r="K229" i="1"/>
  <c r="M229" i="1" s="1"/>
  <c r="K230" i="1"/>
  <c r="M230" i="1" s="1"/>
  <c r="K231" i="1"/>
  <c r="K232" i="1"/>
  <c r="M232" i="1" s="1"/>
  <c r="K233" i="1"/>
  <c r="M233" i="1" s="1"/>
  <c r="K234" i="1"/>
  <c r="M234" i="1" s="1"/>
  <c r="K235" i="1"/>
  <c r="M235" i="1" s="1"/>
  <c r="K236" i="1"/>
  <c r="M236" i="1" s="1"/>
  <c r="K237" i="1"/>
  <c r="K238" i="1"/>
  <c r="K239" i="1"/>
  <c r="M239" i="1" s="1"/>
  <c r="K240" i="1"/>
  <c r="M240" i="1" s="1"/>
  <c r="K241" i="1"/>
  <c r="M241" i="1" s="1"/>
  <c r="K242" i="1"/>
  <c r="M242" i="1" s="1"/>
  <c r="K243" i="1"/>
  <c r="K244" i="1"/>
  <c r="M244" i="1" s="1"/>
  <c r="K245" i="1"/>
  <c r="M245" i="1" s="1"/>
  <c r="K246" i="1"/>
  <c r="M246" i="1" s="1"/>
  <c r="K247" i="1"/>
  <c r="M247" i="1" s="1"/>
  <c r="K248" i="1"/>
  <c r="M248" i="1" s="1"/>
  <c r="K249" i="1"/>
  <c r="M249" i="1" s="1"/>
  <c r="K250" i="1"/>
  <c r="M250" i="1" s="1"/>
  <c r="K251" i="1"/>
  <c r="K252" i="1"/>
  <c r="M252" i="1" s="1"/>
  <c r="K253" i="1"/>
  <c r="M253" i="1" s="1"/>
  <c r="K254" i="1"/>
  <c r="M254" i="1" s="1"/>
  <c r="K255" i="1"/>
  <c r="K256" i="1"/>
  <c r="M256" i="1" s="1"/>
  <c r="K257" i="1"/>
  <c r="M257" i="1" s="1"/>
  <c r="K258" i="1"/>
  <c r="M258" i="1" s="1"/>
  <c r="K259" i="1"/>
  <c r="M259" i="1" s="1"/>
  <c r="K260" i="1"/>
  <c r="M260" i="1" s="1"/>
  <c r="K261" i="1"/>
  <c r="K262" i="1"/>
  <c r="K263" i="1"/>
  <c r="M263" i="1" s="1"/>
  <c r="K264" i="1"/>
  <c r="M264" i="1" s="1"/>
  <c r="K265" i="1"/>
  <c r="M265" i="1" s="1"/>
  <c r="K266" i="1"/>
  <c r="M266" i="1" s="1"/>
  <c r="K267" i="1"/>
  <c r="K268" i="1"/>
  <c r="M268" i="1" s="1"/>
  <c r="K269" i="1"/>
  <c r="M269" i="1" s="1"/>
  <c r="K270" i="1"/>
  <c r="M270" i="1" s="1"/>
  <c r="K271" i="1"/>
  <c r="M271" i="1" s="1"/>
  <c r="K272" i="1"/>
  <c r="M272" i="1" s="1"/>
  <c r="K273" i="1"/>
  <c r="M273" i="1" s="1"/>
  <c r="K274" i="1"/>
  <c r="M274" i="1" s="1"/>
  <c r="K275" i="1"/>
  <c r="K276" i="1"/>
  <c r="M276" i="1" s="1"/>
  <c r="K277" i="1"/>
  <c r="M277" i="1" s="1"/>
  <c r="K278" i="1"/>
  <c r="M278" i="1" s="1"/>
  <c r="K279" i="1"/>
  <c r="K280" i="1"/>
  <c r="M280" i="1" s="1"/>
  <c r="K281" i="1"/>
  <c r="M281" i="1" s="1"/>
  <c r="K282" i="1"/>
  <c r="M282" i="1" s="1"/>
  <c r="K283" i="1"/>
  <c r="M283" i="1" s="1"/>
  <c r="K284" i="1"/>
  <c r="M284" i="1" s="1"/>
  <c r="K285" i="1"/>
  <c r="K286" i="1"/>
  <c r="K287" i="1"/>
  <c r="M287" i="1" s="1"/>
  <c r="K288" i="1"/>
  <c r="M288" i="1" s="1"/>
  <c r="K289" i="1"/>
  <c r="M289" i="1" s="1"/>
  <c r="K290" i="1"/>
  <c r="M290" i="1" s="1"/>
  <c r="K291" i="1"/>
  <c r="K292" i="1"/>
  <c r="M292" i="1" s="1"/>
  <c r="K293" i="1"/>
  <c r="M293" i="1" s="1"/>
  <c r="K294" i="1"/>
  <c r="M294" i="1" s="1"/>
  <c r="K295" i="1"/>
  <c r="M295" i="1" s="1"/>
  <c r="K296" i="1"/>
  <c r="M296" i="1" s="1"/>
  <c r="K297" i="1"/>
  <c r="M297" i="1" s="1"/>
  <c r="K298" i="1"/>
  <c r="M298" i="1" s="1"/>
  <c r="K299" i="1"/>
  <c r="K300" i="1"/>
  <c r="M300" i="1" s="1"/>
  <c r="K301" i="1"/>
  <c r="M301" i="1" s="1"/>
  <c r="K302" i="1"/>
  <c r="M302" i="1" s="1"/>
  <c r="K303" i="1"/>
  <c r="K304" i="1"/>
  <c r="M304" i="1" s="1"/>
  <c r="K305" i="1"/>
  <c r="M305" i="1" s="1"/>
  <c r="K306" i="1"/>
  <c r="M306" i="1" s="1"/>
  <c r="K307" i="1"/>
  <c r="M307" i="1" s="1"/>
  <c r="K308" i="1"/>
  <c r="M308" i="1" s="1"/>
  <c r="K309" i="1"/>
  <c r="K310" i="1"/>
  <c r="K311" i="1"/>
  <c r="M311" i="1" s="1"/>
  <c r="K312" i="1"/>
  <c r="M312" i="1" s="1"/>
  <c r="K313" i="1"/>
  <c r="M313" i="1" s="1"/>
  <c r="K314" i="1"/>
  <c r="M314" i="1" s="1"/>
  <c r="K315" i="1"/>
  <c r="K316" i="1"/>
  <c r="M316" i="1" s="1"/>
  <c r="K317" i="1"/>
  <c r="M317" i="1" s="1"/>
  <c r="K318" i="1"/>
  <c r="M318" i="1" s="1"/>
  <c r="K319" i="1"/>
  <c r="M319" i="1" s="1"/>
  <c r="K320" i="1"/>
  <c r="M320" i="1" s="1"/>
  <c r="K321" i="1"/>
  <c r="M321" i="1" s="1"/>
  <c r="K322" i="1"/>
  <c r="M322" i="1" s="1"/>
  <c r="K323" i="1"/>
  <c r="K324" i="1"/>
  <c r="M324" i="1" s="1"/>
  <c r="K325" i="1"/>
  <c r="M325" i="1" s="1"/>
  <c r="K326" i="1"/>
  <c r="M326" i="1" s="1"/>
  <c r="K327" i="1"/>
  <c r="K328" i="1"/>
  <c r="M328" i="1" s="1"/>
  <c r="K329" i="1"/>
  <c r="M329" i="1" s="1"/>
  <c r="K330" i="1"/>
  <c r="M330" i="1" s="1"/>
  <c r="K331" i="1"/>
  <c r="M331" i="1" s="1"/>
  <c r="K332" i="1"/>
  <c r="M332" i="1" s="1"/>
  <c r="K333" i="1"/>
  <c r="K334" i="1"/>
  <c r="K335" i="1"/>
  <c r="M335" i="1" s="1"/>
  <c r="K336" i="1"/>
  <c r="M336" i="1" s="1"/>
  <c r="K337" i="1"/>
  <c r="M337" i="1" s="1"/>
  <c r="K338" i="1"/>
  <c r="M338" i="1" s="1"/>
  <c r="K339" i="1"/>
  <c r="K340" i="1"/>
  <c r="M340" i="1" s="1"/>
  <c r="K341" i="1"/>
  <c r="M341" i="1" s="1"/>
  <c r="K342" i="1"/>
  <c r="M342" i="1" s="1"/>
  <c r="K343" i="1"/>
  <c r="M343" i="1" s="1"/>
  <c r="K344" i="1"/>
  <c r="M344" i="1" s="1"/>
  <c r="K345" i="1"/>
  <c r="M345" i="1" s="1"/>
  <c r="K346" i="1"/>
  <c r="M346" i="1" s="1"/>
  <c r="K347" i="1"/>
  <c r="K348" i="1"/>
  <c r="M348" i="1" s="1"/>
  <c r="K349" i="1"/>
  <c r="M349" i="1" s="1"/>
  <c r="K350" i="1"/>
  <c r="M350" i="1" s="1"/>
  <c r="K351" i="1"/>
  <c r="K352" i="1"/>
  <c r="M352" i="1" s="1"/>
  <c r="K353" i="1"/>
  <c r="M353" i="1" s="1"/>
  <c r="K354" i="1"/>
  <c r="M354" i="1" s="1"/>
  <c r="K355" i="1"/>
  <c r="M355" i="1" s="1"/>
  <c r="K356" i="1"/>
  <c r="M356" i="1" s="1"/>
  <c r="K357" i="1"/>
  <c r="K358" i="1"/>
  <c r="K359" i="1"/>
  <c r="M359" i="1" s="1"/>
  <c r="K360" i="1"/>
  <c r="M360" i="1" s="1"/>
  <c r="K361" i="1"/>
  <c r="M361" i="1" s="1"/>
  <c r="K362" i="1"/>
  <c r="M362" i="1" s="1"/>
  <c r="K363" i="1"/>
  <c r="K364" i="1"/>
  <c r="M364" i="1" s="1"/>
  <c r="K365" i="1"/>
  <c r="M365" i="1" s="1"/>
  <c r="K366" i="1"/>
  <c r="M366" i="1" s="1"/>
  <c r="K367" i="1"/>
  <c r="M367" i="1" s="1"/>
  <c r="K368" i="1"/>
  <c r="M368" i="1" s="1"/>
  <c r="K369" i="1"/>
  <c r="M369" i="1" s="1"/>
  <c r="K370" i="1"/>
  <c r="M370" i="1" s="1"/>
  <c r="K371" i="1"/>
  <c r="K372" i="1"/>
  <c r="M372" i="1" s="1"/>
  <c r="K373" i="1"/>
  <c r="M373" i="1" s="1"/>
  <c r="K374" i="1"/>
  <c r="M374" i="1" s="1"/>
  <c r="K375" i="1"/>
  <c r="K376" i="1"/>
  <c r="M376" i="1" s="1"/>
  <c r="K377" i="1"/>
  <c r="M377" i="1" s="1"/>
  <c r="K378" i="1"/>
  <c r="M378" i="1" s="1"/>
  <c r="K379" i="1"/>
  <c r="M379" i="1" s="1"/>
  <c r="K380" i="1"/>
  <c r="M380" i="1" s="1"/>
  <c r="K381" i="1"/>
  <c r="K382" i="1"/>
  <c r="K383" i="1"/>
  <c r="M383" i="1" s="1"/>
  <c r="K384" i="1"/>
  <c r="M384" i="1" s="1"/>
  <c r="K385" i="1"/>
  <c r="M385" i="1" s="1"/>
  <c r="K386" i="1"/>
  <c r="M386" i="1" s="1"/>
  <c r="K387" i="1"/>
  <c r="K388" i="1"/>
  <c r="M388" i="1" s="1"/>
  <c r="K389" i="1"/>
  <c r="M389" i="1" s="1"/>
  <c r="K390" i="1"/>
  <c r="M390" i="1" s="1"/>
  <c r="K391" i="1"/>
  <c r="M391" i="1" s="1"/>
  <c r="K392" i="1"/>
  <c r="M392" i="1" s="1"/>
  <c r="K393" i="1"/>
  <c r="M393" i="1" s="1"/>
  <c r="K394" i="1"/>
  <c r="M394" i="1" s="1"/>
  <c r="K395" i="1"/>
  <c r="K396" i="1"/>
  <c r="M396" i="1" s="1"/>
  <c r="K397" i="1"/>
  <c r="M397" i="1" s="1"/>
  <c r="K398" i="1"/>
  <c r="M398" i="1" s="1"/>
  <c r="K399" i="1"/>
  <c r="K400" i="1"/>
  <c r="M400" i="1" s="1"/>
  <c r="K401" i="1"/>
  <c r="M401" i="1" s="1"/>
  <c r="K402" i="1"/>
  <c r="M402" i="1" s="1"/>
  <c r="K403" i="1"/>
  <c r="M403" i="1" s="1"/>
  <c r="K404" i="1"/>
  <c r="M404" i="1" s="1"/>
  <c r="K405" i="1"/>
  <c r="K406" i="1"/>
  <c r="K407" i="1"/>
  <c r="M407" i="1" s="1"/>
  <c r="K408" i="1"/>
  <c r="M408" i="1" s="1"/>
  <c r="K409" i="1"/>
  <c r="M409" i="1" s="1"/>
  <c r="K410" i="1"/>
  <c r="M410" i="1" s="1"/>
  <c r="K411" i="1"/>
  <c r="K412" i="1"/>
  <c r="M412" i="1" s="1"/>
  <c r="K413" i="1"/>
  <c r="M413" i="1" s="1"/>
  <c r="K414" i="1"/>
  <c r="M414" i="1" s="1"/>
  <c r="K415" i="1"/>
  <c r="M415" i="1" s="1"/>
  <c r="K416" i="1"/>
  <c r="M416" i="1" s="1"/>
  <c r="K417" i="1"/>
  <c r="M417" i="1" s="1"/>
  <c r="K418" i="1"/>
  <c r="M418" i="1" s="1"/>
  <c r="K419" i="1"/>
  <c r="K420" i="1"/>
  <c r="M420" i="1" s="1"/>
  <c r="K421" i="1"/>
  <c r="M421" i="1" s="1"/>
  <c r="K422" i="1"/>
  <c r="M422" i="1" s="1"/>
  <c r="K423" i="1"/>
  <c r="K424" i="1"/>
  <c r="M424" i="1" s="1"/>
  <c r="K425" i="1"/>
  <c r="M425" i="1" s="1"/>
  <c r="K426" i="1"/>
  <c r="M426" i="1" s="1"/>
  <c r="K427" i="1"/>
  <c r="M427" i="1" s="1"/>
  <c r="K428" i="1"/>
  <c r="M428" i="1" s="1"/>
  <c r="K429" i="1"/>
  <c r="K430" i="1"/>
  <c r="K431" i="1"/>
  <c r="M431" i="1" s="1"/>
  <c r="K432" i="1"/>
  <c r="M432" i="1" s="1"/>
  <c r="K433" i="1"/>
  <c r="M433" i="1" s="1"/>
  <c r="K434" i="1"/>
  <c r="M434" i="1" s="1"/>
  <c r="K435" i="1"/>
  <c r="K436" i="1"/>
  <c r="M436" i="1" s="1"/>
  <c r="K437" i="1"/>
  <c r="M437" i="1" s="1"/>
  <c r="K438" i="1"/>
  <c r="M438" i="1" s="1"/>
  <c r="K439" i="1"/>
  <c r="M439" i="1" s="1"/>
  <c r="K440" i="1"/>
  <c r="M440" i="1" s="1"/>
  <c r="K441" i="1"/>
  <c r="M441" i="1" s="1"/>
  <c r="K442" i="1"/>
  <c r="M442" i="1" s="1"/>
  <c r="K443" i="1"/>
  <c r="K444" i="1"/>
  <c r="M444" i="1" s="1"/>
  <c r="K445" i="1"/>
  <c r="M445" i="1" s="1"/>
  <c r="K446" i="1"/>
  <c r="M446" i="1" s="1"/>
  <c r="K447" i="1"/>
  <c r="K448" i="1"/>
  <c r="M448" i="1" s="1"/>
  <c r="K449" i="1"/>
  <c r="M449" i="1" s="1"/>
  <c r="K450" i="1"/>
  <c r="M450" i="1" s="1"/>
  <c r="K451" i="1"/>
  <c r="M451" i="1" s="1"/>
  <c r="K452" i="1"/>
  <c r="M452" i="1" s="1"/>
  <c r="K453" i="1"/>
  <c r="K454" i="1"/>
  <c r="K455" i="1"/>
  <c r="M455" i="1" s="1"/>
  <c r="K456" i="1"/>
  <c r="M456" i="1" s="1"/>
  <c r="K457" i="1"/>
  <c r="M457" i="1" s="1"/>
  <c r="K458" i="1"/>
  <c r="M458" i="1" s="1"/>
  <c r="K459" i="1"/>
  <c r="K460" i="1"/>
  <c r="M460" i="1" s="1"/>
  <c r="K461" i="1"/>
  <c r="M461" i="1" s="1"/>
  <c r="K462" i="1"/>
  <c r="M462" i="1" s="1"/>
  <c r="K463" i="1"/>
  <c r="M463" i="1" s="1"/>
  <c r="K464" i="1"/>
  <c r="M464" i="1" s="1"/>
  <c r="K465" i="1"/>
  <c r="M465" i="1" s="1"/>
  <c r="K466" i="1"/>
  <c r="M466" i="1" s="1"/>
  <c r="K467" i="1"/>
  <c r="K468" i="1"/>
  <c r="M468" i="1" s="1"/>
  <c r="K469" i="1"/>
  <c r="M469" i="1" s="1"/>
  <c r="K470" i="1"/>
  <c r="M470" i="1" s="1"/>
  <c r="K471" i="1"/>
  <c r="K472" i="1"/>
  <c r="M472" i="1" s="1"/>
  <c r="K473" i="1"/>
  <c r="M473" i="1" s="1"/>
  <c r="K474" i="1"/>
  <c r="M474" i="1" s="1"/>
  <c r="K475" i="1"/>
  <c r="M475" i="1" s="1"/>
  <c r="K476" i="1"/>
  <c r="M476" i="1" s="1"/>
  <c r="K477" i="1"/>
  <c r="K478" i="1"/>
  <c r="K479" i="1"/>
  <c r="M479" i="1" s="1"/>
  <c r="K480" i="1"/>
  <c r="M480" i="1" s="1"/>
  <c r="K481" i="1"/>
  <c r="M481" i="1" s="1"/>
  <c r="K482" i="1"/>
  <c r="M482" i="1" s="1"/>
  <c r="K483" i="1"/>
  <c r="K484" i="1"/>
  <c r="M484" i="1" s="1"/>
  <c r="K485" i="1"/>
  <c r="M485" i="1" s="1"/>
  <c r="K486" i="1"/>
  <c r="M486" i="1" s="1"/>
  <c r="K487" i="1"/>
  <c r="M487" i="1" s="1"/>
  <c r="K488" i="1"/>
  <c r="M488" i="1" s="1"/>
  <c r="K489" i="1"/>
  <c r="M489" i="1" s="1"/>
  <c r="K490" i="1"/>
  <c r="M490" i="1" s="1"/>
  <c r="K491" i="1"/>
  <c r="K492" i="1"/>
  <c r="M492" i="1" s="1"/>
  <c r="K493" i="1"/>
  <c r="M493" i="1" s="1"/>
  <c r="K494" i="1"/>
  <c r="M494" i="1" s="1"/>
  <c r="K495" i="1"/>
  <c r="K496" i="1"/>
  <c r="M496" i="1" s="1"/>
  <c r="K497" i="1"/>
  <c r="M497" i="1" s="1"/>
  <c r="K498" i="1"/>
  <c r="M498" i="1" s="1"/>
  <c r="K499" i="1"/>
  <c r="M499" i="1" s="1"/>
  <c r="K500" i="1"/>
  <c r="M500" i="1" s="1"/>
  <c r="K501" i="1"/>
  <c r="K502" i="1"/>
  <c r="K503" i="1"/>
  <c r="M503" i="1" s="1"/>
  <c r="K504" i="1"/>
  <c r="M504" i="1" s="1"/>
  <c r="K505" i="1"/>
  <c r="M505" i="1" s="1"/>
  <c r="K506" i="1"/>
  <c r="M506" i="1" s="1"/>
  <c r="K507" i="1"/>
  <c r="K508" i="1"/>
  <c r="M508" i="1" s="1"/>
  <c r="K509" i="1"/>
  <c r="M509" i="1" s="1"/>
  <c r="K510" i="1"/>
  <c r="M510" i="1" s="1"/>
  <c r="K511" i="1"/>
  <c r="M511" i="1" s="1"/>
  <c r="K512" i="1"/>
  <c r="M512" i="1" s="1"/>
  <c r="K513" i="1"/>
  <c r="M513" i="1" s="1"/>
  <c r="K514" i="1"/>
  <c r="M514" i="1" s="1"/>
  <c r="K515" i="1"/>
  <c r="K516" i="1"/>
  <c r="M516" i="1" s="1"/>
  <c r="K517" i="1"/>
  <c r="M517" i="1" s="1"/>
  <c r="K518" i="1"/>
  <c r="M518" i="1" s="1"/>
  <c r="K519" i="1"/>
  <c r="K520" i="1"/>
  <c r="M520" i="1" s="1"/>
  <c r="K521" i="1"/>
  <c r="M521" i="1" s="1"/>
  <c r="K522" i="1"/>
  <c r="M522" i="1" s="1"/>
  <c r="K523" i="1"/>
  <c r="M523" i="1" s="1"/>
  <c r="K524" i="1"/>
  <c r="M524" i="1" s="1"/>
  <c r="K525" i="1"/>
  <c r="K526" i="1"/>
  <c r="K527" i="1"/>
  <c r="M527" i="1" s="1"/>
  <c r="K528" i="1"/>
  <c r="M528" i="1" s="1"/>
  <c r="K529" i="1"/>
  <c r="M529" i="1" s="1"/>
  <c r="K530" i="1"/>
  <c r="M530" i="1" s="1"/>
  <c r="K531" i="1"/>
  <c r="M531" i="1" s="1"/>
  <c r="K532" i="1"/>
  <c r="M532" i="1" s="1"/>
  <c r="K533" i="1"/>
  <c r="M533" i="1" s="1"/>
  <c r="K534" i="1"/>
  <c r="M534" i="1" s="1"/>
  <c r="K535" i="1"/>
  <c r="M535" i="1" s="1"/>
  <c r="K536" i="1"/>
  <c r="M536" i="1" s="1"/>
  <c r="K537" i="1"/>
  <c r="M537" i="1" s="1"/>
  <c r="K538" i="1"/>
  <c r="M538" i="1" s="1"/>
  <c r="K539" i="1"/>
  <c r="K540" i="1"/>
  <c r="M540" i="1" s="1"/>
  <c r="K541" i="1"/>
  <c r="M541" i="1" s="1"/>
  <c r="K542" i="1"/>
  <c r="M542" i="1" s="1"/>
  <c r="K543" i="1"/>
  <c r="K544" i="1"/>
  <c r="M544" i="1" s="1"/>
  <c r="K545" i="1"/>
  <c r="M545" i="1" s="1"/>
  <c r="K546" i="1"/>
  <c r="M546" i="1" s="1"/>
  <c r="K547" i="1"/>
  <c r="M547" i="1" s="1"/>
  <c r="K548" i="1"/>
  <c r="K549" i="1"/>
  <c r="M549" i="1" s="1"/>
  <c r="K550" i="1"/>
  <c r="M550" i="1" s="1"/>
  <c r="K551" i="1"/>
  <c r="K552" i="1"/>
  <c r="M552" i="1" s="1"/>
  <c r="K553" i="1"/>
  <c r="M553" i="1" s="1"/>
  <c r="K554" i="1"/>
  <c r="M554" i="1" s="1"/>
  <c r="K555" i="1"/>
  <c r="M555" i="1" s="1"/>
  <c r="K556" i="1"/>
  <c r="M556" i="1" s="1"/>
  <c r="K557" i="1"/>
  <c r="M557" i="1" s="1"/>
  <c r="K558" i="1"/>
  <c r="M558" i="1" s="1"/>
  <c r="K559" i="1"/>
  <c r="M559" i="1" s="1"/>
  <c r="K560" i="1"/>
  <c r="M560" i="1" s="1"/>
  <c r="K561" i="1"/>
  <c r="M561" i="1" s="1"/>
  <c r="K562" i="1"/>
  <c r="M562" i="1" s="1"/>
  <c r="K563" i="1"/>
  <c r="M563" i="1" s="1"/>
  <c r="K564" i="1"/>
  <c r="M564" i="1" s="1"/>
  <c r="K565" i="1"/>
  <c r="M565" i="1" s="1"/>
  <c r="K566" i="1"/>
  <c r="M566" i="1" s="1"/>
  <c r="K567" i="1"/>
  <c r="M567" i="1" s="1"/>
  <c r="K568" i="1"/>
  <c r="M568" i="1" s="1"/>
  <c r="K569" i="1"/>
  <c r="M569" i="1" s="1"/>
  <c r="K570" i="1"/>
  <c r="M570" i="1" s="1"/>
  <c r="K571" i="1"/>
  <c r="M571" i="1" s="1"/>
  <c r="K572" i="1"/>
  <c r="M572" i="1" s="1"/>
  <c r="K573" i="1"/>
  <c r="M573" i="1" s="1"/>
  <c r="K574" i="1"/>
  <c r="M574" i="1" s="1"/>
  <c r="K575" i="1"/>
  <c r="M575" i="1" s="1"/>
  <c r="K576" i="1"/>
  <c r="M576" i="1" s="1"/>
  <c r="K577" i="1"/>
  <c r="M577" i="1" s="1"/>
  <c r="K578" i="1"/>
  <c r="M578" i="1" s="1"/>
  <c r="K579" i="1"/>
  <c r="K580" i="1"/>
  <c r="M580" i="1" s="1"/>
  <c r="K581" i="1"/>
  <c r="M581" i="1" s="1"/>
  <c r="K582" i="1"/>
  <c r="M582" i="1" s="1"/>
  <c r="K583" i="1"/>
  <c r="M583" i="1" s="1"/>
  <c r="K584" i="1"/>
  <c r="M584" i="1" s="1"/>
  <c r="K585" i="1"/>
  <c r="M585" i="1" s="1"/>
  <c r="K586" i="1"/>
  <c r="K587" i="1"/>
  <c r="K588" i="1"/>
  <c r="M588" i="1" s="1"/>
  <c r="K589" i="1"/>
  <c r="M589" i="1" s="1"/>
  <c r="K590" i="1"/>
  <c r="M590" i="1" s="1"/>
  <c r="K591" i="1"/>
  <c r="K592" i="1"/>
  <c r="M592" i="1" s="1"/>
  <c r="K593" i="1"/>
  <c r="M593" i="1" s="1"/>
  <c r="K594" i="1"/>
  <c r="M594" i="1" s="1"/>
  <c r="K595" i="1"/>
  <c r="M595" i="1" s="1"/>
  <c r="K596" i="1"/>
  <c r="M596" i="1" s="1"/>
  <c r="K597" i="1"/>
  <c r="M597" i="1" s="1"/>
  <c r="K598" i="1"/>
  <c r="M598" i="1" s="1"/>
  <c r="K599" i="1"/>
  <c r="K600" i="1"/>
  <c r="M600" i="1" s="1"/>
  <c r="K601" i="1"/>
  <c r="M601" i="1" s="1"/>
  <c r="K602" i="1"/>
  <c r="M602" i="1" s="1"/>
  <c r="K603" i="1"/>
  <c r="M603" i="1" s="1"/>
  <c r="K604" i="1"/>
  <c r="M604" i="1" s="1"/>
  <c r="K605" i="1"/>
  <c r="M605" i="1" s="1"/>
  <c r="K606" i="1"/>
  <c r="M606" i="1" s="1"/>
  <c r="K607" i="1"/>
  <c r="M607" i="1" s="1"/>
  <c r="K608" i="1"/>
  <c r="K609" i="1"/>
  <c r="K610" i="1"/>
  <c r="M610" i="1" s="1"/>
  <c r="K611" i="1"/>
  <c r="M611" i="1" s="1"/>
  <c r="K612" i="1"/>
  <c r="M612" i="1" s="1"/>
  <c r="K613" i="1"/>
  <c r="M613" i="1" s="1"/>
  <c r="K614" i="1"/>
  <c r="M614" i="1" s="1"/>
  <c r="K615" i="1"/>
  <c r="M615" i="1" s="1"/>
  <c r="K616" i="1"/>
  <c r="M616" i="1" s="1"/>
  <c r="K617" i="1"/>
  <c r="M617" i="1" s="1"/>
  <c r="K618" i="1"/>
  <c r="M618" i="1" s="1"/>
  <c r="K619" i="1"/>
  <c r="M619" i="1" s="1"/>
  <c r="K620" i="1"/>
  <c r="M620" i="1" s="1"/>
  <c r="K621" i="1"/>
  <c r="M621" i="1" s="1"/>
  <c r="K622" i="1"/>
  <c r="M622" i="1" s="1"/>
  <c r="K623" i="1"/>
  <c r="K624" i="1"/>
  <c r="M624" i="1" s="1"/>
  <c r="K625" i="1"/>
  <c r="M625" i="1" s="1"/>
  <c r="K626" i="1"/>
  <c r="M626" i="1" s="1"/>
  <c r="K627" i="1"/>
  <c r="K628" i="1"/>
  <c r="M628" i="1" s="1"/>
  <c r="K629" i="1"/>
  <c r="M629" i="1" s="1"/>
  <c r="K630" i="1"/>
  <c r="M630" i="1" s="1"/>
  <c r="K631" i="1"/>
  <c r="M631" i="1" s="1"/>
  <c r="K632" i="1"/>
  <c r="M632" i="1" s="1"/>
  <c r="K633" i="1"/>
  <c r="M633" i="1" s="1"/>
  <c r="K634" i="1"/>
  <c r="M634" i="1" s="1"/>
  <c r="K635" i="1"/>
  <c r="M635" i="1" s="1"/>
  <c r="K636" i="1"/>
  <c r="M636" i="1" s="1"/>
  <c r="K637" i="1"/>
  <c r="M637" i="1" s="1"/>
  <c r="K638" i="1"/>
  <c r="M638" i="1" s="1"/>
  <c r="K639" i="1"/>
  <c r="K640" i="1"/>
  <c r="M640" i="1" s="1"/>
  <c r="K641" i="1"/>
  <c r="M641" i="1" s="1"/>
  <c r="K642" i="1"/>
  <c r="M642" i="1" s="1"/>
  <c r="K643" i="1"/>
  <c r="M643" i="1" s="1"/>
  <c r="K644" i="1"/>
  <c r="M644" i="1" s="1"/>
  <c r="K645" i="1"/>
  <c r="M645" i="1" s="1"/>
  <c r="K646" i="1"/>
  <c r="M646" i="1" s="1"/>
  <c r="K647" i="1"/>
  <c r="K648" i="1"/>
  <c r="K649" i="1"/>
  <c r="M649" i="1" s="1"/>
  <c r="K650" i="1"/>
  <c r="M650" i="1" s="1"/>
  <c r="K651" i="1"/>
  <c r="M651" i="1" s="1"/>
  <c r="K652" i="1"/>
  <c r="M652" i="1" s="1"/>
  <c r="K653" i="1"/>
  <c r="M653" i="1" s="1"/>
  <c r="K654" i="1"/>
  <c r="M654" i="1" s="1"/>
  <c r="K655" i="1"/>
  <c r="M655" i="1" s="1"/>
  <c r="K656" i="1"/>
  <c r="M656" i="1" s="1"/>
  <c r="K657" i="1"/>
  <c r="M657" i="1" s="1"/>
  <c r="K658" i="1"/>
  <c r="M658" i="1" s="1"/>
  <c r="K659" i="1"/>
  <c r="M659" i="1" s="1"/>
  <c r="K660" i="1"/>
  <c r="M660" i="1" s="1"/>
  <c r="K661" i="1"/>
  <c r="M661" i="1" s="1"/>
  <c r="K662" i="1"/>
  <c r="M662" i="1" s="1"/>
  <c r="K663" i="1"/>
  <c r="K664" i="1"/>
  <c r="M664" i="1" s="1"/>
  <c r="K665" i="1"/>
  <c r="M665" i="1" s="1"/>
  <c r="K666" i="1"/>
  <c r="M666" i="1" s="1"/>
  <c r="K667" i="1"/>
  <c r="M667" i="1" s="1"/>
  <c r="K668" i="1"/>
  <c r="M668" i="1" s="1"/>
  <c r="K669" i="1"/>
  <c r="K670" i="1"/>
  <c r="K671" i="1"/>
  <c r="M671" i="1" s="1"/>
  <c r="K672" i="1"/>
  <c r="M672" i="1" s="1"/>
  <c r="K673" i="1"/>
  <c r="M673" i="1" s="1"/>
  <c r="K674" i="1"/>
  <c r="M674" i="1" s="1"/>
  <c r="K675" i="1"/>
  <c r="M675" i="1" s="1"/>
  <c r="K676" i="1"/>
  <c r="M676" i="1" s="1"/>
  <c r="K677" i="1"/>
  <c r="M677" i="1" s="1"/>
  <c r="K678" i="1"/>
  <c r="M678" i="1" s="1"/>
  <c r="K679" i="1"/>
  <c r="M679" i="1" s="1"/>
  <c r="K680" i="1"/>
  <c r="M680" i="1" s="1"/>
  <c r="K681" i="1"/>
  <c r="M681" i="1" s="1"/>
  <c r="K682" i="1"/>
  <c r="M682" i="1" s="1"/>
  <c r="K683" i="1"/>
  <c r="K684" i="1"/>
  <c r="M684" i="1" s="1"/>
  <c r="K685" i="1"/>
  <c r="M685" i="1" s="1"/>
  <c r="K686" i="1"/>
  <c r="M686" i="1" s="1"/>
  <c r="K687" i="1"/>
  <c r="K688" i="1"/>
  <c r="M688" i="1" s="1"/>
  <c r="K689" i="1"/>
  <c r="M689" i="1" s="1"/>
  <c r="K690" i="1"/>
  <c r="M690" i="1" s="1"/>
  <c r="K691" i="1"/>
  <c r="M691" i="1" s="1"/>
  <c r="K692" i="1"/>
  <c r="K693" i="1"/>
  <c r="M693" i="1" s="1"/>
  <c r="K694" i="1"/>
  <c r="M694" i="1" s="1"/>
  <c r="K695" i="1"/>
  <c r="K696" i="1"/>
  <c r="M696" i="1" s="1"/>
  <c r="K697" i="1"/>
  <c r="M697" i="1" s="1"/>
  <c r="K698" i="1"/>
  <c r="M698" i="1" s="1"/>
  <c r="K699" i="1"/>
  <c r="M699" i="1" s="1"/>
  <c r="K700" i="1"/>
  <c r="M700" i="1" s="1"/>
  <c r="K701" i="1"/>
  <c r="M701" i="1" s="1"/>
  <c r="K702" i="1"/>
  <c r="M702" i="1" s="1"/>
  <c r="K703" i="1"/>
  <c r="M703" i="1" s="1"/>
  <c r="K704" i="1"/>
  <c r="M704" i="1" s="1"/>
  <c r="K705" i="1"/>
  <c r="M705" i="1" s="1"/>
  <c r="K706" i="1"/>
  <c r="M706" i="1" s="1"/>
  <c r="K707" i="1"/>
  <c r="M707" i="1" s="1"/>
  <c r="K708" i="1"/>
  <c r="M708" i="1" s="1"/>
  <c r="K709" i="1"/>
  <c r="M709" i="1" s="1"/>
  <c r="K710" i="1"/>
  <c r="M710" i="1" s="1"/>
  <c r="K711" i="1"/>
  <c r="M711" i="1" s="1"/>
  <c r="K712" i="1"/>
  <c r="M712" i="1" s="1"/>
  <c r="K713" i="1"/>
  <c r="M713" i="1" s="1"/>
  <c r="K714" i="1"/>
  <c r="M714" i="1" s="1"/>
  <c r="K715" i="1"/>
  <c r="M715" i="1" s="1"/>
  <c r="K716" i="1"/>
  <c r="M716" i="1" s="1"/>
  <c r="K717" i="1"/>
  <c r="M717" i="1" s="1"/>
  <c r="K718" i="1"/>
  <c r="M718" i="1" s="1"/>
  <c r="K719" i="1"/>
  <c r="M719" i="1" s="1"/>
  <c r="K720" i="1"/>
  <c r="M720" i="1" s="1"/>
  <c r="K721" i="1"/>
  <c r="M721" i="1" s="1"/>
  <c r="K722" i="1"/>
  <c r="M722" i="1" s="1"/>
  <c r="K723" i="1"/>
  <c r="K724" i="1"/>
  <c r="M724" i="1" s="1"/>
  <c r="K725" i="1"/>
  <c r="M725" i="1" s="1"/>
  <c r="K726" i="1"/>
  <c r="M726" i="1" s="1"/>
  <c r="K727" i="1"/>
  <c r="M727" i="1" s="1"/>
  <c r="K728" i="1"/>
  <c r="M728" i="1" s="1"/>
  <c r="K729" i="1"/>
  <c r="M729" i="1" s="1"/>
  <c r="K730" i="1"/>
  <c r="K731" i="1"/>
  <c r="K732" i="1"/>
  <c r="M732" i="1" s="1"/>
  <c r="K733" i="1"/>
  <c r="M733" i="1" s="1"/>
  <c r="K734" i="1"/>
  <c r="M734" i="1" s="1"/>
  <c r="K735" i="1"/>
  <c r="K736" i="1"/>
  <c r="M736" i="1" s="1"/>
  <c r="K737" i="1"/>
  <c r="M737" i="1" s="1"/>
  <c r="K738" i="1"/>
  <c r="M738" i="1" s="1"/>
  <c r="K739" i="1"/>
  <c r="M739" i="1" s="1"/>
  <c r="K740" i="1"/>
  <c r="M740" i="1" s="1"/>
  <c r="K741" i="1"/>
  <c r="M741" i="1" s="1"/>
  <c r="K742" i="1"/>
  <c r="M742" i="1" s="1"/>
  <c r="K743" i="1"/>
  <c r="K744" i="1"/>
  <c r="M744" i="1" s="1"/>
  <c r="K745" i="1"/>
  <c r="M745" i="1" s="1"/>
  <c r="K746" i="1"/>
  <c r="M746" i="1" s="1"/>
  <c r="K747" i="1"/>
  <c r="M747" i="1" s="1"/>
  <c r="K748" i="1"/>
  <c r="M748" i="1" s="1"/>
  <c r="K749" i="1"/>
  <c r="M749" i="1" s="1"/>
  <c r="K750" i="1"/>
  <c r="M750" i="1" s="1"/>
  <c r="K751" i="1"/>
  <c r="M751" i="1" s="1"/>
  <c r="K752" i="1"/>
  <c r="K753" i="1"/>
  <c r="K754" i="1"/>
  <c r="M754" i="1" s="1"/>
  <c r="K755" i="1"/>
  <c r="M755" i="1" s="1"/>
  <c r="K756" i="1"/>
  <c r="M756" i="1" s="1"/>
  <c r="K757" i="1"/>
  <c r="M757" i="1" s="1"/>
  <c r="K758" i="1"/>
  <c r="M758" i="1" s="1"/>
  <c r="K759" i="1"/>
  <c r="M759" i="1" s="1"/>
  <c r="K760" i="1"/>
  <c r="M760" i="1" s="1"/>
  <c r="K761" i="1"/>
  <c r="M761" i="1" s="1"/>
  <c r="K762" i="1"/>
  <c r="M762" i="1" s="1"/>
  <c r="K763" i="1"/>
  <c r="M763" i="1" s="1"/>
  <c r="K764" i="1"/>
  <c r="M764" i="1" s="1"/>
  <c r="K765" i="1"/>
  <c r="M765" i="1" s="1"/>
  <c r="K766" i="1"/>
  <c r="M766" i="1" s="1"/>
  <c r="K767" i="1"/>
  <c r="K768" i="1"/>
  <c r="M768" i="1" s="1"/>
  <c r="K769" i="1"/>
  <c r="M769" i="1" s="1"/>
  <c r="K770" i="1"/>
  <c r="M770" i="1" s="1"/>
  <c r="K771" i="1"/>
  <c r="K772" i="1"/>
  <c r="M772" i="1" s="1"/>
  <c r="K773" i="1"/>
  <c r="M773" i="1" s="1"/>
  <c r="K774" i="1"/>
  <c r="M774" i="1" s="1"/>
  <c r="K775" i="1"/>
  <c r="M775" i="1" s="1"/>
  <c r="K776" i="1"/>
  <c r="M776" i="1" s="1"/>
  <c r="K777" i="1"/>
  <c r="M777" i="1" s="1"/>
  <c r="K778" i="1"/>
  <c r="M778" i="1" s="1"/>
  <c r="K779" i="1"/>
  <c r="M779" i="1" s="1"/>
  <c r="K780" i="1"/>
  <c r="M780" i="1" s="1"/>
  <c r="K781" i="1"/>
  <c r="M781" i="1" s="1"/>
  <c r="K782" i="1"/>
  <c r="M782" i="1" s="1"/>
  <c r="K783" i="1"/>
  <c r="K784" i="1"/>
  <c r="M784" i="1" s="1"/>
  <c r="K785" i="1"/>
  <c r="M785" i="1" s="1"/>
  <c r="K786" i="1"/>
  <c r="M786" i="1" s="1"/>
  <c r="K787" i="1"/>
  <c r="M787" i="1" s="1"/>
  <c r="K788" i="1"/>
  <c r="M788" i="1" s="1"/>
  <c r="K789" i="1"/>
  <c r="M789" i="1" s="1"/>
  <c r="K790" i="1"/>
  <c r="M790" i="1" s="1"/>
  <c r="K791" i="1"/>
  <c r="K792" i="1"/>
  <c r="K793" i="1"/>
  <c r="M793" i="1" s="1"/>
  <c r="K794" i="1"/>
  <c r="M794" i="1" s="1"/>
  <c r="K795" i="1"/>
  <c r="M795" i="1" s="1"/>
  <c r="K796" i="1"/>
  <c r="M796" i="1" s="1"/>
  <c r="K797" i="1"/>
  <c r="M797" i="1" s="1"/>
  <c r="K798" i="1"/>
  <c r="M798" i="1" s="1"/>
  <c r="K799" i="1"/>
  <c r="M799" i="1" s="1"/>
  <c r="K800" i="1"/>
  <c r="M800" i="1" s="1"/>
  <c r="K801" i="1"/>
  <c r="M801" i="1" s="1"/>
  <c r="K802" i="1"/>
  <c r="M802" i="1" s="1"/>
  <c r="K803" i="1"/>
  <c r="M803" i="1" s="1"/>
  <c r="K804" i="1"/>
  <c r="M804" i="1" s="1"/>
  <c r="K805" i="1"/>
  <c r="M805" i="1" s="1"/>
  <c r="K806" i="1"/>
  <c r="M806" i="1" s="1"/>
  <c r="K807" i="1"/>
  <c r="K808" i="1"/>
  <c r="M808" i="1" s="1"/>
  <c r="K809" i="1"/>
  <c r="M809" i="1" s="1"/>
  <c r="K810" i="1"/>
  <c r="M810" i="1" s="1"/>
  <c r="K811" i="1"/>
  <c r="M811" i="1" s="1"/>
  <c r="K812" i="1"/>
  <c r="M812" i="1" s="1"/>
  <c r="K813" i="1"/>
  <c r="K814" i="1"/>
  <c r="K815" i="1"/>
  <c r="M815" i="1" s="1"/>
  <c r="K816" i="1"/>
  <c r="M816" i="1" s="1"/>
  <c r="K817" i="1"/>
  <c r="M817" i="1" s="1"/>
  <c r="K818" i="1"/>
  <c r="M818" i="1" s="1"/>
  <c r="K819" i="1"/>
  <c r="M819" i="1" s="1"/>
  <c r="K820" i="1"/>
  <c r="M820" i="1" s="1"/>
  <c r="K821" i="1"/>
  <c r="M821" i="1" s="1"/>
  <c r="K822" i="1"/>
  <c r="M822" i="1" s="1"/>
  <c r="K823" i="1"/>
  <c r="M823" i="1" s="1"/>
  <c r="K824" i="1"/>
  <c r="M824" i="1" s="1"/>
  <c r="K825" i="1"/>
  <c r="M825" i="1" s="1"/>
  <c r="K826" i="1"/>
  <c r="M826" i="1" s="1"/>
  <c r="K827" i="1"/>
  <c r="K828" i="1"/>
  <c r="M828" i="1" s="1"/>
  <c r="K829" i="1"/>
  <c r="M829" i="1" s="1"/>
  <c r="K830" i="1"/>
  <c r="M830" i="1" s="1"/>
  <c r="K831" i="1"/>
  <c r="K832" i="1"/>
  <c r="M832" i="1" s="1"/>
  <c r="K833" i="1"/>
  <c r="M833" i="1" s="1"/>
  <c r="K834" i="1"/>
  <c r="M834" i="1" s="1"/>
  <c r="K835" i="1"/>
  <c r="M835" i="1" s="1"/>
  <c r="K836" i="1"/>
  <c r="K837" i="1"/>
  <c r="M837" i="1" s="1"/>
  <c r="K838" i="1"/>
  <c r="M838" i="1" s="1"/>
  <c r="K839" i="1"/>
  <c r="K840" i="1"/>
  <c r="M840" i="1" s="1"/>
  <c r="K841" i="1"/>
  <c r="M841" i="1" s="1"/>
  <c r="K842" i="1"/>
  <c r="M842" i="1" s="1"/>
  <c r="K843" i="1"/>
  <c r="M843" i="1" s="1"/>
  <c r="K844" i="1"/>
  <c r="M844" i="1" s="1"/>
  <c r="K845" i="1"/>
  <c r="M845" i="1" s="1"/>
  <c r="K846" i="1"/>
  <c r="M846" i="1" s="1"/>
  <c r="K847" i="1"/>
  <c r="M847" i="1" s="1"/>
  <c r="K848" i="1"/>
  <c r="M848" i="1" s="1"/>
  <c r="K849" i="1"/>
  <c r="M849" i="1" s="1"/>
  <c r="K850" i="1"/>
  <c r="M850" i="1" s="1"/>
  <c r="K851" i="1"/>
  <c r="M851" i="1" s="1"/>
  <c r="K852" i="1"/>
  <c r="M852" i="1" s="1"/>
  <c r="K853" i="1"/>
  <c r="M853" i="1" s="1"/>
  <c r="K854" i="1"/>
  <c r="M854" i="1" s="1"/>
  <c r="K855" i="1"/>
  <c r="M855" i="1" s="1"/>
  <c r="K856" i="1"/>
  <c r="M856" i="1" s="1"/>
  <c r="K857" i="1"/>
  <c r="M857" i="1" s="1"/>
  <c r="K858" i="1"/>
  <c r="M858" i="1" s="1"/>
  <c r="K859" i="1"/>
  <c r="M859" i="1" s="1"/>
  <c r="K860" i="1"/>
  <c r="M860" i="1" s="1"/>
  <c r="K861" i="1"/>
  <c r="M861" i="1" s="1"/>
  <c r="K862" i="1"/>
  <c r="M862" i="1" s="1"/>
  <c r="K863" i="1"/>
  <c r="M863" i="1" s="1"/>
  <c r="K864" i="1"/>
  <c r="M864" i="1" s="1"/>
  <c r="K865" i="1"/>
  <c r="M865" i="1" s="1"/>
  <c r="K866" i="1"/>
  <c r="M866" i="1" s="1"/>
  <c r="K867" i="1"/>
  <c r="K868" i="1"/>
  <c r="M868" i="1" s="1"/>
  <c r="K869" i="1"/>
  <c r="M869" i="1" s="1"/>
  <c r="K870" i="1"/>
  <c r="M870" i="1" s="1"/>
  <c r="K871" i="1"/>
  <c r="M871" i="1" s="1"/>
  <c r="K872" i="1"/>
  <c r="M872" i="1" s="1"/>
  <c r="K873" i="1"/>
  <c r="M873" i="1" s="1"/>
  <c r="K874" i="1"/>
  <c r="K875" i="1"/>
  <c r="K876" i="1"/>
  <c r="M876" i="1" s="1"/>
  <c r="K877" i="1"/>
  <c r="M877" i="1" s="1"/>
  <c r="K878" i="1"/>
  <c r="M878" i="1" s="1"/>
  <c r="K879" i="1"/>
  <c r="K880" i="1"/>
  <c r="M880" i="1" s="1"/>
  <c r="K881" i="1"/>
  <c r="M881" i="1" s="1"/>
  <c r="K882" i="1"/>
  <c r="M882" i="1" s="1"/>
  <c r="K883" i="1"/>
  <c r="M883" i="1" s="1"/>
  <c r="K884" i="1"/>
  <c r="M884" i="1" s="1"/>
  <c r="K885" i="1"/>
  <c r="M885" i="1" s="1"/>
  <c r="K886" i="1"/>
  <c r="M886" i="1" s="1"/>
  <c r="K887" i="1"/>
  <c r="K888" i="1"/>
  <c r="M888" i="1" s="1"/>
  <c r="K889" i="1"/>
  <c r="M889" i="1" s="1"/>
  <c r="K890" i="1"/>
  <c r="M890" i="1" s="1"/>
  <c r="K891" i="1"/>
  <c r="M891" i="1" s="1"/>
  <c r="K892" i="1"/>
  <c r="M892" i="1" s="1"/>
  <c r="K893" i="1"/>
  <c r="M893" i="1" s="1"/>
  <c r="K894" i="1"/>
  <c r="M894" i="1" s="1"/>
  <c r="K895" i="1"/>
  <c r="M895" i="1" s="1"/>
  <c r="K896" i="1"/>
  <c r="K897" i="1"/>
  <c r="K898" i="1"/>
  <c r="M898" i="1" s="1"/>
  <c r="K899" i="1"/>
  <c r="M899" i="1" s="1"/>
  <c r="K900" i="1"/>
  <c r="M900" i="1" s="1"/>
  <c r="K901" i="1"/>
  <c r="M901" i="1" s="1"/>
  <c r="K902" i="1"/>
  <c r="M902" i="1" s="1"/>
  <c r="K903" i="1"/>
  <c r="M903" i="1" s="1"/>
  <c r="K904" i="1"/>
  <c r="M904" i="1" s="1"/>
  <c r="K905" i="1"/>
  <c r="M905" i="1" s="1"/>
  <c r="K906" i="1"/>
  <c r="M906" i="1" s="1"/>
  <c r="K907" i="1"/>
  <c r="M907" i="1" s="1"/>
  <c r="K908" i="1"/>
  <c r="M908" i="1" s="1"/>
  <c r="K909" i="1"/>
  <c r="M909" i="1" s="1"/>
  <c r="K910" i="1"/>
  <c r="M910" i="1" s="1"/>
  <c r="K911" i="1"/>
  <c r="K912" i="1"/>
  <c r="M912" i="1" s="1"/>
  <c r="K913" i="1"/>
  <c r="M913" i="1" s="1"/>
  <c r="K914" i="1"/>
  <c r="M914" i="1" s="1"/>
  <c r="K915" i="1"/>
  <c r="K916" i="1"/>
  <c r="M916" i="1" s="1"/>
  <c r="K917" i="1"/>
  <c r="M917" i="1" s="1"/>
  <c r="K918" i="1"/>
  <c r="M918" i="1" s="1"/>
  <c r="K919" i="1"/>
  <c r="M919" i="1" s="1"/>
  <c r="K920" i="1"/>
  <c r="M920" i="1" s="1"/>
  <c r="K921" i="1"/>
  <c r="M921" i="1" s="1"/>
  <c r="K922" i="1"/>
  <c r="M922" i="1" s="1"/>
  <c r="K923" i="1"/>
  <c r="M923" i="1" s="1"/>
  <c r="K924" i="1"/>
  <c r="M924" i="1" s="1"/>
  <c r="K925" i="1"/>
  <c r="M925" i="1" s="1"/>
  <c r="K926" i="1"/>
  <c r="M926" i="1" s="1"/>
  <c r="K927" i="1"/>
  <c r="K928" i="1"/>
  <c r="M928" i="1" s="1"/>
  <c r="K929" i="1"/>
  <c r="M929" i="1" s="1"/>
  <c r="K930" i="1"/>
  <c r="M930" i="1" s="1"/>
  <c r="K931" i="1"/>
  <c r="M931" i="1" s="1"/>
  <c r="K932" i="1"/>
  <c r="M932" i="1" s="1"/>
  <c r="K933" i="1"/>
  <c r="M933" i="1" s="1"/>
  <c r="K934" i="1"/>
  <c r="M934" i="1" s="1"/>
  <c r="K935" i="1"/>
  <c r="K936" i="1"/>
  <c r="K937" i="1"/>
  <c r="M937" i="1" s="1"/>
  <c r="K938" i="1"/>
  <c r="M938" i="1" s="1"/>
  <c r="K939" i="1"/>
  <c r="M939" i="1" s="1"/>
  <c r="K940" i="1"/>
  <c r="M940" i="1" s="1"/>
  <c r="K941" i="1"/>
  <c r="M941" i="1" s="1"/>
  <c r="K942" i="1"/>
  <c r="M942" i="1" s="1"/>
  <c r="K943" i="1"/>
  <c r="M943" i="1" s="1"/>
  <c r="K944" i="1"/>
  <c r="M944" i="1" s="1"/>
  <c r="K945" i="1"/>
  <c r="M945" i="1" s="1"/>
  <c r="K946" i="1"/>
  <c r="M946" i="1" s="1"/>
  <c r="K947" i="1"/>
  <c r="M947" i="1" s="1"/>
  <c r="K948" i="1"/>
  <c r="M948" i="1" s="1"/>
  <c r="K949" i="1"/>
  <c r="M949" i="1" s="1"/>
  <c r="K950" i="1"/>
  <c r="M950" i="1" s="1"/>
  <c r="K951" i="1"/>
  <c r="K952" i="1"/>
  <c r="M952" i="1" s="1"/>
  <c r="K953" i="1"/>
  <c r="M953" i="1" s="1"/>
  <c r="K954" i="1"/>
  <c r="M954" i="1" s="1"/>
  <c r="K955" i="1"/>
  <c r="M955" i="1" s="1"/>
  <c r="K956" i="1"/>
  <c r="M956" i="1" s="1"/>
  <c r="K957" i="1"/>
  <c r="K958" i="1"/>
  <c r="K959" i="1"/>
  <c r="M959" i="1" s="1"/>
  <c r="K960" i="1"/>
  <c r="M960" i="1" s="1"/>
  <c r="K961" i="1"/>
  <c r="M961" i="1" s="1"/>
  <c r="K962" i="1"/>
  <c r="M962" i="1" s="1"/>
  <c r="K963" i="1"/>
  <c r="M963" i="1" s="1"/>
  <c r="K964" i="1"/>
  <c r="M964" i="1" s="1"/>
  <c r="K965" i="1"/>
  <c r="M965" i="1" s="1"/>
  <c r="K966" i="1"/>
  <c r="M966" i="1" s="1"/>
  <c r="K967" i="1"/>
  <c r="M967" i="1" s="1"/>
  <c r="K968" i="1"/>
  <c r="M968" i="1" s="1"/>
  <c r="K969" i="1"/>
  <c r="M969" i="1" s="1"/>
  <c r="K970" i="1"/>
  <c r="M970" i="1" s="1"/>
  <c r="K971" i="1"/>
  <c r="K972" i="1"/>
  <c r="M972" i="1" s="1"/>
  <c r="K973" i="1"/>
  <c r="M973" i="1" s="1"/>
  <c r="K974" i="1"/>
  <c r="M974" i="1" s="1"/>
  <c r="K975" i="1"/>
  <c r="K976" i="1"/>
  <c r="M976" i="1" s="1"/>
  <c r="K977" i="1"/>
  <c r="M977" i="1" s="1"/>
  <c r="K978" i="1"/>
  <c r="M978" i="1" s="1"/>
  <c r="K979" i="1"/>
  <c r="M979" i="1" s="1"/>
  <c r="K980" i="1"/>
  <c r="K981" i="1"/>
  <c r="M981" i="1" s="1"/>
  <c r="K982" i="1"/>
  <c r="M982" i="1" s="1"/>
  <c r="K983" i="1"/>
  <c r="K984" i="1"/>
  <c r="M984" i="1" s="1"/>
  <c r="K985" i="1"/>
  <c r="M985" i="1" s="1"/>
  <c r="K986" i="1"/>
  <c r="M986" i="1" s="1"/>
  <c r="K987" i="1"/>
  <c r="M987" i="1" s="1"/>
  <c r="K988" i="1"/>
  <c r="M988" i="1" s="1"/>
  <c r="K989" i="1"/>
  <c r="M989" i="1" s="1"/>
  <c r="K990" i="1"/>
  <c r="M990" i="1" s="1"/>
  <c r="K991" i="1"/>
  <c r="M991" i="1" s="1"/>
  <c r="K992" i="1"/>
  <c r="M992" i="1" s="1"/>
  <c r="K993" i="1"/>
  <c r="M993" i="1" s="1"/>
  <c r="K994" i="1"/>
  <c r="M994" i="1" s="1"/>
  <c r="K995" i="1"/>
  <c r="K996" i="1"/>
  <c r="M996" i="1" s="1"/>
  <c r="K997" i="1"/>
  <c r="M997" i="1" s="1"/>
  <c r="K998" i="1"/>
  <c r="K999" i="1"/>
  <c r="M999" i="1" s="1"/>
  <c r="K1000" i="1"/>
  <c r="M1000" i="1" s="1"/>
  <c r="K1001" i="1"/>
  <c r="M1001" i="1" s="1"/>
  <c r="K2" i="1"/>
  <c r="J6" i="15"/>
  <c r="H6" i="15"/>
  <c r="G13" i="4" l="1"/>
  <c r="C14" i="4"/>
  <c r="G11" i="4"/>
  <c r="C11" i="4"/>
  <c r="C12" i="4"/>
  <c r="G12" i="4"/>
  <c r="B2" i="4"/>
  <c r="M2" i="1"/>
  <c r="G10" i="4"/>
  <c r="C13" i="4"/>
  <c r="B5" i="4"/>
  <c r="B3" i="4"/>
  <c r="N2" i="1" a="1"/>
  <c r="N2" i="1" s="1"/>
  <c r="C10" i="4" l="1"/>
  <c r="B4" i="4"/>
  <c r="F15" i="4"/>
  <c r="B15" i="4"/>
  <c r="B6" i="4" l="1"/>
  <c r="J15" i="4"/>
  <c r="G15" i="4" l="1"/>
  <c r="C1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<sst xmlns="http://schemas.openxmlformats.org/spreadsheetml/2006/main" count="8108" uniqueCount="1354">
  <si>
    <t>ORD01</t>
  </si>
  <si>
    <t>ORD02</t>
  </si>
  <si>
    <t>ORD03</t>
  </si>
  <si>
    <t>ORD04</t>
  </si>
  <si>
    <t>ORD05</t>
  </si>
  <si>
    <t>ORD06</t>
  </si>
  <si>
    <t>ORD07</t>
  </si>
  <si>
    <t>ORD08</t>
  </si>
  <si>
    <t>ORD09</t>
  </si>
  <si>
    <t>ORD10</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</si>
  <si>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</si>
  <si>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</si>
  <si>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</si>
  <si>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</si>
  <si>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</si>
  <si>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</si>
  <si>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</si>
  <si>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</si>
  <si>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</si>
  <si>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</si>
  <si>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</si>
  <si>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</si>
  <si>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</si>
  <si>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</si>
  <si>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</si>
  <si>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</si>
  <si>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</si>
  <si>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</si>
  <si>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</si>
  <si>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</si>
  <si>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</si>
  <si>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</si>
  <si>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</si>
  <si>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</si>
  <si>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</si>
  <si>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</si>
  <si>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</si>
  <si>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</si>
  <si>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</si>
  <si>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</si>
  <si>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</si>
  <si>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</si>
  <si>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</si>
  <si>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</si>
  <si>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</si>
  <si>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</si>
  <si>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</si>
  <si>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</si>
  <si>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</si>
  <si>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</si>
  <si>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Product</t>
  </si>
  <si>
    <t>Tablet</t>
  </si>
  <si>
    <t>Accessories</t>
  </si>
  <si>
    <t>Laptop</t>
  </si>
  <si>
    <t>Mobile</t>
  </si>
  <si>
    <t>State</t>
  </si>
  <si>
    <t>Bhopal</t>
  </si>
  <si>
    <t>Indore</t>
  </si>
  <si>
    <t>Mumbai</t>
  </si>
  <si>
    <t>Assam</t>
  </si>
  <si>
    <t>Electronics</t>
  </si>
  <si>
    <t>Quantity</t>
  </si>
  <si>
    <t>Profit</t>
  </si>
  <si>
    <t>UPI</t>
  </si>
  <si>
    <t>Cash</t>
  </si>
  <si>
    <t>Card</t>
  </si>
  <si>
    <t>Payment Mode</t>
  </si>
  <si>
    <t>Sales Amount</t>
  </si>
  <si>
    <t>Product Category</t>
  </si>
  <si>
    <t>Customer Name</t>
  </si>
  <si>
    <t>Region</t>
  </si>
  <si>
    <t>North</t>
  </si>
  <si>
    <t>East</t>
  </si>
  <si>
    <t>South</t>
  </si>
  <si>
    <t>West</t>
  </si>
  <si>
    <t>Grand Total</t>
  </si>
  <si>
    <t>Sum of Sales Amount</t>
  </si>
  <si>
    <t>Sum of Profit</t>
  </si>
  <si>
    <t>Total</t>
  </si>
  <si>
    <t>Order ID</t>
  </si>
  <si>
    <t>Sales Category</t>
  </si>
  <si>
    <t>KPI</t>
  </si>
  <si>
    <t>Value</t>
  </si>
  <si>
    <t>Total Sales</t>
  </si>
  <si>
    <t>Total Profit</t>
  </si>
  <si>
    <t>Total orders</t>
  </si>
  <si>
    <t>Avg Profit</t>
  </si>
  <si>
    <t>Sales</t>
  </si>
  <si>
    <t>Analysis</t>
  </si>
  <si>
    <t>Values</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</si>
  <si>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</si>
  <si>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</si>
  <si>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</si>
  <si>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</si>
  <si>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</si>
  <si>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</si>
  <si>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</si>
  <si>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</si>
  <si>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</si>
  <si>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</si>
  <si>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</si>
  <si>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</si>
  <si>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</si>
  <si>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</si>
  <si>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</si>
  <si>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</si>
  <si>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</si>
  <si>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</si>
  <si>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</si>
  <si>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</si>
  <si>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</si>
  <si>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</si>
  <si>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</si>
  <si>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</si>
  <si>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</si>
  <si>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</si>
  <si>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</si>
  <si>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</si>
  <si>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</si>
  <si>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</si>
  <si>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</si>
  <si>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</si>
  <si>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</si>
  <si>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</si>
  <si>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</si>
  <si>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</si>
  <si>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</si>
  <si>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</si>
  <si>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</si>
  <si>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</si>
  <si>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</si>
  <si>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</si>
  <si>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</si>
  <si>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</si>
  <si>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</si>
  <si>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</si>
  <si>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</si>
  <si>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</si>
  <si>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</si>
  <si>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</si>
  <si>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</si>
  <si>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</si>
  <si>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</si>
  <si>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</si>
  <si>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</si>
  <si>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</si>
  <si>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</si>
  <si>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</si>
  <si>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</si>
  <si>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</si>
  <si>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</si>
  <si>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</si>
  <si>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</si>
  <si>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</si>
  <si>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</si>
  <si>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</si>
  <si>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</si>
  <si>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</si>
  <si>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</si>
  <si>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</si>
  <si>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</si>
  <si>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</si>
  <si>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</si>
  <si>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</si>
  <si>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</si>
  <si>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</si>
  <si>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</si>
  <si>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</si>
  <si>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</si>
  <si>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</si>
  <si>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</si>
  <si>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</si>
  <si>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</si>
  <si>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</si>
  <si>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</si>
  <si>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</si>
  <si>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</si>
  <si>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</si>
  <si>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</si>
  <si>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</si>
  <si>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</si>
  <si>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</si>
  <si>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</si>
  <si>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</si>
  <si>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</si>
  <si>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</si>
  <si>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</si>
  <si>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</si>
  <si>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</si>
  <si>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</si>
  <si>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</si>
  <si>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</si>
  <si>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</si>
  <si>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</si>
  <si>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</si>
  <si>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</si>
  <si>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</si>
  <si>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</si>
  <si>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</si>
  <si>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</si>
  <si>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</si>
  <si>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</si>
  <si>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</si>
  <si>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</si>
  <si>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</si>
  <si>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</si>
  <si>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</si>
  <si>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</si>
  <si>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</si>
  <si>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</si>
  <si>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</si>
  <si>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</si>
  <si>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</si>
  <si>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</si>
  <si>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</si>
  <si>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</si>
  <si>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</si>
  <si>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</si>
  <si>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</si>
  <si>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</si>
  <si>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</si>
  <si>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</si>
  <si>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</si>
  <si>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</si>
  <si>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</si>
  <si>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</si>
  <si>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</si>
  <si>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</si>
  <si>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</si>
  <si>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</si>
  <si>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</si>
  <si>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</si>
  <si>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</si>
  <si>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</si>
  <si>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</si>
  <si>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</si>
  <si>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</si>
  <si>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</si>
  <si>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</si>
  <si>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</si>
  <si>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</si>
  <si>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</si>
  <si>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</si>
  <si>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</si>
  <si>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</si>
  <si>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</si>
  <si>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</si>
  <si>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</si>
  <si>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</si>
  <si>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</si>
  <si>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</si>
  <si>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</si>
  <si>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</si>
  <si>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</si>
  <si>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</si>
  <si>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</si>
  <si>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</si>
  <si>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</si>
  <si>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</si>
  <si>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</si>
  <si>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</si>
  <si>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</si>
  <si>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</si>
  <si>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</si>
  <si>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</si>
  <si>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</si>
  <si>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</si>
  <si>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</si>
  <si>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</si>
  <si>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</si>
  <si>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</si>
  <si>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</si>
  <si>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</si>
  <si>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</si>
  <si>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</si>
  <si>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</si>
  <si>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</si>
  <si>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</si>
  <si>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</si>
  <si>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</si>
  <si>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</si>
  <si>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</si>
  <si>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</si>
  <si>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</si>
  <si>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</si>
  <si>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</si>
  <si>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</si>
  <si>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</si>
  <si>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</si>
  <si>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</si>
  <si>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</si>
  <si>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</si>
  <si>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</si>
  <si>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</si>
  <si>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</si>
  <si>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</si>
  <si>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</si>
  <si>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</si>
  <si>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</si>
  <si>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</si>
  <si>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</si>
  <si>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</si>
  <si>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</si>
  <si>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</si>
  <si>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</si>
  <si>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</si>
  <si>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</si>
  <si>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</si>
  <si>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</si>
  <si>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</si>
  <si>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</si>
  <si>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</si>
  <si>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</si>
  <si>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</si>
  <si>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</si>
  <si>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</si>
  <si>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</si>
  <si>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</si>
  <si>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</si>
  <si>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</si>
  <si>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</si>
  <si>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</si>
  <si>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</si>
  <si>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</si>
  <si>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</si>
  <si>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</si>
  <si>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</si>
  <si>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</si>
  <si>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</si>
  <si>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</si>
  <si>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</si>
  <si>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</si>
  <si>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</si>
  <si>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</si>
  <si>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</si>
  <si>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</si>
  <si>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</si>
  <si>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</si>
  <si>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</si>
  <si>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</si>
  <si>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</si>
  <si>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</si>
  <si>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</si>
  <si>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</si>
  <si>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</si>
  <si>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</si>
  <si>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</si>
  <si>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</si>
  <si>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</si>
  <si>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</si>
  <si>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</si>
  <si>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</si>
  <si>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</si>
  <si>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</si>
  <si>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</si>
  <si>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</si>
  <si>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</si>
  <si>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</si>
  <si>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</si>
  <si>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</si>
  <si>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</si>
  <si>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</si>
  <si>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</si>
  <si>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</si>
  <si>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</si>
  <si>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</si>
  <si>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</si>
  <si>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</si>
  <si>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</si>
  <si>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</si>
  <si>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</si>
  <si>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</si>
  <si>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</si>
  <si>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</si>
  <si>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</si>
  <si>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</si>
  <si>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</si>
  <si>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</si>
  <si>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</si>
  <si>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</si>
  <si>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</si>
  <si>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</si>
  <si>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</si>
  <si>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</si>
  <si>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</si>
  <si>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</si>
  <si>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</si>
  <si>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</si>
  <si>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</si>
  <si>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</si>
  <si>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</si>
  <si>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</si>
  <si>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</si>
  <si>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</si>
  <si>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</si>
  <si>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</si>
  <si>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</si>
  <si>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</si>
  <si>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</si>
  <si>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</si>
  <si>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</si>
  <si>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</si>
  <si>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</si>
  <si>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</si>
  <si>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</si>
  <si>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</si>
  <si>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</si>
  <si>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</si>
  <si>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</si>
  <si>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</si>
  <si>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</si>
  <si>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</si>
  <si>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</si>
  <si>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</si>
  <si>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</si>
  <si>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</si>
  <si>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</si>
  <si>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</si>
  <si>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</si>
  <si>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</si>
  <si>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</si>
  <si>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</si>
  <si>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</si>
  <si>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</si>
  <si>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</si>
  <si>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</si>
  <si>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</si>
  <si>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</si>
  <si>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</si>
  <si>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</si>
  <si>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</si>
  <si>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</si>
  <si>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</si>
  <si>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</si>
  <si>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</si>
  <si>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</si>
  <si>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</si>
  <si>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</si>
  <si>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</si>
  <si>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</si>
  <si>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</si>
  <si>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</si>
  <si>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</si>
  <si>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</si>
  <si>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</si>
  <si>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</si>
  <si>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</si>
  <si>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</si>
  <si>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</si>
  <si>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</si>
  <si>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</si>
  <si>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</si>
  <si>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</si>
  <si>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</si>
  <si>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</si>
  <si>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</si>
  <si>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</si>
  <si>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</si>
  <si>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</si>
  <si>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</si>
  <si>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</si>
  <si>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</si>
  <si>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</si>
  <si>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</si>
  <si>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</si>
  <si>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</si>
  <si>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</si>
  <si>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</si>
  <si>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</si>
  <si>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</si>
  <si>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</si>
  <si>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</si>
  <si>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</si>
  <si>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</si>
  <si>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</si>
  <si>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</si>
  <si>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</si>
  <si>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</si>
  <si>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</si>
  <si>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</si>
  <si>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</si>
  <si>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</si>
  <si>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</si>
  <si>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</si>
  <si>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</si>
  <si>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</si>
  <si>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</si>
  <si>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</si>
  <si>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</si>
  <si>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</si>
  <si>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</si>
  <si>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</si>
  <si>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</si>
  <si>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</si>
  <si>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</si>
  <si>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</si>
  <si>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</si>
  <si>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</si>
  <si>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</si>
  <si>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</si>
  <si>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</si>
  <si>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</si>
  <si>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</si>
  <si>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</si>
  <si>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</si>
  <si>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</si>
  <si>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</si>
  <si>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</si>
  <si>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</si>
  <si>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</si>
  <si>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</si>
  <si>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</si>
  <si>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</si>
  <si>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</si>
  <si>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</si>
  <si>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</si>
  <si>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</si>
  <si>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</si>
  <si>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</si>
  <si>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</si>
  <si>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</si>
  <si>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</si>
  <si>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</si>
  <si>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</si>
  <si>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</si>
  <si>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</si>
  <si>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</si>
  <si>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</si>
  <si>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</si>
  <si>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</si>
  <si>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</si>
  <si>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</si>
  <si>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</si>
  <si>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</si>
  <si>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</si>
  <si>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</si>
  <si>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</si>
  <si>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</si>
  <si>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</si>
  <si>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</si>
  <si>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</si>
  <si>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</si>
  <si>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</si>
  <si>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</si>
  <si>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</si>
  <si>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</si>
  <si>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</si>
  <si>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</si>
  <si>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</si>
  <si>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</si>
  <si>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</si>
  <si>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</si>
  <si>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</si>
  <si>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</si>
  <si>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</si>
  <si>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</si>
  <si>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</si>
  <si>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</si>
  <si>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</si>
  <si>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</si>
  <si>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</si>
  <si>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</si>
  <si>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</si>
  <si>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</si>
  <si>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</si>
  <si>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</si>
  <si>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</si>
  <si>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</si>
  <si>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</si>
  <si>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</si>
  <si>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</si>
  <si>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</si>
  <si>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</si>
  <si>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</si>
  <si>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</si>
  <si>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</si>
  <si>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</si>
  <si>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</si>
  <si>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</si>
  <si>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</si>
  <si>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</si>
  <si>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</si>
  <si>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</si>
  <si>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</si>
  <si>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</si>
  <si>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</si>
  <si>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</si>
  <si>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</si>
  <si>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</si>
  <si>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</si>
  <si>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</si>
  <si>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</si>
  <si>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</si>
  <si>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</si>
  <si>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</si>
  <si>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</si>
  <si>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</si>
  <si>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</si>
  <si>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</si>
  <si>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</si>
  <si>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</si>
  <si>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</si>
  <si>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</si>
  <si>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</si>
  <si>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</si>
  <si>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</si>
  <si>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</si>
  <si>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</si>
  <si>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</si>
  <si>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</si>
  <si>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</si>
  <si>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</si>
  <si>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</si>
  <si>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</si>
  <si>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</si>
  <si>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</si>
  <si>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</si>
  <si>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</si>
  <si>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</si>
  <si>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</si>
  <si>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</si>
  <si>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</si>
  <si>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</si>
  <si>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</si>
  <si>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</si>
  <si>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</si>
  <si>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</si>
  <si>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</si>
  <si>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</si>
  <si>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</si>
  <si>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</si>
  <si>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</si>
  <si>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</si>
  <si>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</si>
  <si>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</si>
  <si>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</si>
  <si>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</si>
  <si>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</si>
  <si>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</si>
  <si>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</si>
  <si>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</si>
  <si>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</si>
  <si>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</si>
  <si>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</si>
  <si>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</si>
  <si>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</si>
  <si>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</si>
  <si>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</si>
  <si>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</si>
  <si>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</si>
  <si>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</si>
  <si>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</si>
  <si>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</si>
  <si>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</si>
  <si>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</si>
  <si>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</si>
  <si>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</si>
  <si>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</si>
  <si>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</si>
  <si>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</si>
  <si>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</si>
  <si>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</si>
  <si>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</si>
  <si>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</si>
  <si>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</si>
  <si>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</si>
  <si>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</si>
  <si>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</si>
  <si>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</si>
  <si>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</si>
  <si>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</si>
  <si>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</si>
  <si>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</si>
  <si>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</si>
  <si>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</si>
  <si>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</si>
  <si>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</si>
  <si>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</si>
  <si>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</si>
  <si>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</si>
  <si>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</si>
  <si>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</si>
  <si>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</si>
  <si>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</si>
  <si>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</si>
  <si>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</si>
  <si>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</si>
  <si>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</si>
  <si>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</si>
  <si>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</si>
  <si>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</si>
  <si>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</si>
  <si>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</si>
  <si>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</si>
  <si>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</si>
  <si>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</si>
  <si>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</si>
  <si>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</si>
  <si>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</si>
  <si>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</si>
  <si>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</si>
  <si>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</si>
  <si>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</si>
  <si>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</si>
  <si>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</si>
  <si>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</si>
  <si>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</si>
  <si>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</si>
  <si>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</si>
  <si>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</si>
  <si>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</si>
  <si>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</si>
  <si>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</si>
  <si>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</si>
  <si>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</si>
  <si>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</si>
  <si>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</si>
  <si>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</si>
  <si>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</si>
  <si>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</si>
  <si>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</si>
  <si>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</si>
  <si>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</si>
  <si>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</si>
  <si>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</si>
  <si>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</si>
  <si>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</si>
  <si>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</si>
  <si>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</si>
  <si>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</si>
  <si>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</si>
  <si>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</si>
  <si>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</si>
  <si>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</si>
  <si>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</si>
  <si>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</si>
  <si>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</si>
  <si>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</si>
  <si>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</si>
  <si>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</si>
  <si>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</si>
  <si>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</si>
  <si>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</si>
  <si>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</si>
  <si>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</si>
  <si>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</si>
  <si>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</si>
  <si>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</si>
  <si>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</si>
  <si>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</si>
  <si>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</si>
  <si>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</si>
  <si>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</si>
  <si>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</si>
  <si>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</si>
  <si>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</si>
  <si>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</si>
  <si>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</si>
  <si>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</si>
  <si>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</si>
  <si>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</si>
  <si>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</si>
  <si>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</si>
  <si>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</si>
  <si>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</si>
  <si>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</si>
  <si>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</si>
  <si>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</si>
  <si>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</si>
  <si>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</si>
  <si>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</si>
  <si>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</si>
  <si>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</si>
  <si>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</si>
  <si>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</si>
  <si>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</si>
  <si>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</si>
  <si>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</si>
  <si>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</si>
  <si>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</si>
  <si>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</si>
  <si>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</si>
  <si>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</si>
  <si>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</si>
  <si>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</si>
  <si>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</si>
  <si>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</si>
  <si>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</si>
  <si>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</si>
  <si>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</si>
  <si>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</si>
  <si>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</si>
  <si>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</si>
  <si>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</si>
  <si>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</si>
  <si>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</si>
  <si>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</si>
  <si>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</si>
  <si>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</si>
  <si>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</si>
  <si>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</si>
  <si>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</si>
  <si>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</si>
  <si>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</si>
  <si>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</si>
  <si>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</si>
  <si>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</si>
  <si>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</si>
  <si>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</si>
  <si>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</si>
  <si>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</si>
  <si>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</si>
  <si>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</si>
  <si>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</si>
  <si>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</si>
  <si>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</si>
  <si>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</si>
  <si>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</si>
  <si>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</si>
  <si>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</si>
  <si>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</si>
  <si>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</si>
  <si>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</si>
  <si>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</si>
  <si>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</si>
  <si>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</si>
  <si>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</si>
  <si>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</si>
  <si>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</si>
  <si>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</si>
  <si>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</si>
  <si>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</si>
  <si>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</si>
  <si>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</si>
  <si>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</si>
  <si>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</si>
  <si>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</si>
  <si>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</si>
  <si>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</si>
  <si>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</si>
  <si>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</si>
  <si>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</si>
  <si>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</si>
  <si>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</si>
  <si>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</si>
  <si>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</si>
  <si>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</si>
  <si>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</si>
  <si>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</si>
  <si>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</si>
  <si>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</si>
  <si>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</si>
  <si>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</si>
  <si>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</si>
  <si>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</si>
  <si>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</si>
  <si>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</si>
  <si>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</si>
  <si>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</si>
  <si>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</si>
  <si>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</si>
  <si>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</si>
  <si>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</si>
  <si>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</si>
  <si>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</si>
  <si>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</si>
  <si>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</si>
  <si>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</si>
  <si>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</si>
  <si>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</si>
  <si>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</si>
  <si>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</si>
  <si>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</si>
  <si>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</si>
  <si>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</si>
  <si>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</si>
  <si>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</si>
  <si>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</si>
  <si>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</si>
  <si>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</si>
  <si>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</si>
  <si>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</si>
  <si>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</si>
  <si>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</si>
  <si>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</si>
  <si>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</si>
  <si>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</si>
  <si>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</si>
  <si>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</si>
  <si>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</si>
  <si>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</si>
  <si>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</si>
  <si>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</si>
  <si>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</si>
  <si>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</si>
  <si>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</si>
  <si>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</si>
  <si>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</si>
  <si>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</si>
  <si>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</si>
  <si>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</si>
  <si>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</si>
  <si>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</si>
  <si>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</si>
  <si>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</si>
  <si>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</si>
  <si>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</si>
  <si>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</si>
  <si>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</si>
  <si>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</si>
  <si>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</si>
  <si>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</si>
  <si>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</si>
  <si>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</si>
  <si>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</si>
  <si>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</si>
  <si>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</si>
  <si>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</si>
  <si>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</si>
  <si>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</si>
  <si>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</si>
  <si>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</si>
  <si>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</si>
  <si>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</si>
  <si>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</si>
  <si>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</si>
  <si>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</si>
  <si>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</si>
  <si>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</si>
  <si>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</si>
  <si>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</si>
  <si>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</si>
  <si>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</si>
  <si>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</si>
  <si>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</si>
  <si>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</si>
  <si>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</si>
  <si>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</si>
  <si>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</si>
  <si>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</si>
  <si>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</si>
  <si>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</si>
  <si>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</si>
  <si>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</si>
  <si>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</si>
  <si>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</si>
  <si>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</si>
  <si>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</si>
  <si>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</si>
  <si>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</si>
  <si>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</si>
  <si>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</si>
  <si>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</si>
  <si>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</si>
  <si>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</si>
  <si>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</si>
  <si>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</si>
  <si>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</si>
  <si>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</si>
  <si>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</si>
  <si>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</si>
  <si>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</si>
  <si>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</si>
  <si>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</si>
  <si>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</si>
  <si>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</si>
  <si>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</si>
  <si>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</si>
  <si>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</si>
  <si>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</si>
  <si>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</si>
  <si>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</si>
  <si>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</si>
  <si>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</si>
  <si>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</si>
  <si>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</si>
  <si>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</si>
  <si>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</si>
  <si>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</si>
  <si>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</si>
  <si>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</si>
  <si>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</si>
  <si>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</si>
  <si>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</si>
  <si>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</si>
  <si>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</si>
  <si>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</si>
  <si>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</si>
  <si>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</si>
  <si>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</si>
  <si>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</si>
  <si>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</si>
  <si>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</si>
  <si>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</si>
  <si>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</si>
  <si>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</si>
  <si>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</si>
  <si>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</si>
  <si>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</si>
  <si>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</si>
  <si>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</si>
  <si>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</si>
  <si>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</si>
  <si>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</si>
  <si>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</si>
  <si>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</si>
  <si>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</si>
  <si>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</si>
  <si>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</si>
  <si>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</si>
  <si>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</si>
  <si>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</si>
  <si>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</si>
  <si>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</si>
  <si>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</si>
  <si>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</si>
  <si>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</si>
  <si>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</si>
  <si>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</si>
  <si>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</si>
  <si>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</si>
  <si>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</si>
  <si>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</si>
  <si>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</si>
  <si>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</si>
  <si>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</si>
  <si>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</si>
  <si>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</si>
  <si>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</si>
  <si>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</si>
  <si>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</si>
  <si>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</si>
  <si>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</si>
  <si>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</si>
  <si>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</si>
  <si>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</si>
  <si>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</si>
  <si>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</si>
  <si>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</si>
  <si>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</si>
  <si>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Customer_40</t>
  </si>
  <si>
    <t>Customer_191</t>
  </si>
  <si>
    <t>Customer_29</t>
  </si>
  <si>
    <t>Customer_160</t>
  </si>
  <si>
    <t>Customer_68</t>
  </si>
  <si>
    <t>Customer_163</t>
  </si>
  <si>
    <t>Customer_33</t>
  </si>
  <si>
    <t>Customer_124</t>
  </si>
  <si>
    <t>Customer_79</t>
  </si>
  <si>
    <t>Customer_159</t>
  </si>
  <si>
    <t>Customer_45</t>
  </si>
  <si>
    <t>Customer_95</t>
  </si>
  <si>
    <t>Customer_185</t>
  </si>
  <si>
    <t>Customer_130</t>
  </si>
  <si>
    <t>Customer_51</t>
  </si>
  <si>
    <t>Customer_158</t>
  </si>
  <si>
    <t>Customer_141</t>
  </si>
  <si>
    <t>Customer_105</t>
  </si>
  <si>
    <t>Customer_76</t>
  </si>
  <si>
    <t>Customer_178</t>
  </si>
  <si>
    <t>Customer_184</t>
  </si>
  <si>
    <t>Customer_132</t>
  </si>
  <si>
    <t>Customer_44</t>
  </si>
  <si>
    <t>Customer_150</t>
  </si>
  <si>
    <t>Customer_194</t>
  </si>
  <si>
    <t>Customer_149</t>
  </si>
  <si>
    <t>Customer_16</t>
  </si>
  <si>
    <t>Customer_102</t>
  </si>
  <si>
    <t>Customer_23</t>
  </si>
  <si>
    <t>Customer_47</t>
  </si>
  <si>
    <t>Customer_119</t>
  </si>
  <si>
    <t>Customer_118</t>
  </si>
  <si>
    <t>Customer_135</t>
  </si>
  <si>
    <t>Customer_3</t>
  </si>
  <si>
    <t>Customer_106</t>
  </si>
  <si>
    <t>Customer_174</t>
  </si>
  <si>
    <t>Customer_175</t>
  </si>
  <si>
    <t>Customer_37</t>
  </si>
  <si>
    <t>Customer_36</t>
  </si>
  <si>
    <t>Customer_111</t>
  </si>
  <si>
    <t>Customer_84</t>
  </si>
  <si>
    <t>Customer_1</t>
  </si>
  <si>
    <t>Customer_75</t>
  </si>
  <si>
    <t>Customer_136</t>
  </si>
  <si>
    <t>Customer_87</t>
  </si>
  <si>
    <t>Customer_101</t>
  </si>
  <si>
    <t>Customer_189</t>
  </si>
  <si>
    <t>Customer_138</t>
  </si>
  <si>
    <t>Customer_144</t>
  </si>
  <si>
    <t>Customer_71</t>
  </si>
  <si>
    <t>Customer_66</t>
  </si>
  <si>
    <t>Customer_169</t>
  </si>
  <si>
    <t>Customer_192</t>
  </si>
  <si>
    <t>Customer_50</t>
  </si>
  <si>
    <t>Customer_2</t>
  </si>
  <si>
    <t>Customer_139</t>
  </si>
  <si>
    <t>Customer_168</t>
  </si>
  <si>
    <t>Customer_180</t>
  </si>
  <si>
    <t>Customer_103</t>
  </si>
  <si>
    <t>Customer_58</t>
  </si>
  <si>
    <t>Customer_73</t>
  </si>
  <si>
    <t>Customer_170</t>
  </si>
  <si>
    <t>Customer_164</t>
  </si>
  <si>
    <t>Customer_69</t>
  </si>
  <si>
    <t>Customer_57</t>
  </si>
  <si>
    <t>Customer_46</t>
  </si>
  <si>
    <t>Customer_80</t>
  </si>
  <si>
    <t>Customer_182</t>
  </si>
  <si>
    <t>Customer_127</t>
  </si>
  <si>
    <t>Customer_97</t>
  </si>
  <si>
    <t>Customer_83</t>
  </si>
  <si>
    <t>Customer_147</t>
  </si>
  <si>
    <t>Customer_155</t>
  </si>
  <si>
    <t>Customer_167</t>
  </si>
  <si>
    <t>Customer_5</t>
  </si>
  <si>
    <t>Customer_91</t>
  </si>
  <si>
    <t>Customer_122</t>
  </si>
  <si>
    <t>Customer_22</t>
  </si>
  <si>
    <t>Customer_19</t>
  </si>
  <si>
    <t>Customer_145</t>
  </si>
  <si>
    <t>Customer_25</t>
  </si>
  <si>
    <t>Customer_82</t>
  </si>
  <si>
    <t>Customer_54</t>
  </si>
  <si>
    <t>Customer_60</t>
  </si>
  <si>
    <t>Customer_30</t>
  </si>
  <si>
    <t>Customer_49</t>
  </si>
  <si>
    <t>Customer_108</t>
  </si>
  <si>
    <t>Customer_161</t>
  </si>
  <si>
    <t>Customer_183</t>
  </si>
  <si>
    <t>Customer_52</t>
  </si>
  <si>
    <t>Customer_107</t>
  </si>
  <si>
    <t>Customer_148</t>
  </si>
  <si>
    <t>Customer_165</t>
  </si>
  <si>
    <t>Customer_92</t>
  </si>
  <si>
    <t>Customer_154</t>
  </si>
  <si>
    <t>Customer_61</t>
  </si>
  <si>
    <t>Customer_157</t>
  </si>
  <si>
    <t>Customer_171</t>
  </si>
  <si>
    <t>Customer_14</t>
  </si>
  <si>
    <t>Customer_4</t>
  </si>
  <si>
    <t>Customer_104</t>
  </si>
  <si>
    <t>Customer_179</t>
  </si>
  <si>
    <t>Customer_62</t>
  </si>
  <si>
    <t>Customer_199</t>
  </si>
  <si>
    <t>Customer_151</t>
  </si>
  <si>
    <t>Customer_116</t>
  </si>
  <si>
    <t>Customer_129</t>
  </si>
  <si>
    <t>Customer_17</t>
  </si>
  <si>
    <t>Customer_53</t>
  </si>
  <si>
    <t>Customer_81</t>
  </si>
  <si>
    <t>Customer_31</t>
  </si>
  <si>
    <t>Customer_152</t>
  </si>
  <si>
    <t>Customer_13</t>
  </si>
  <si>
    <t>Customer_64</t>
  </si>
  <si>
    <t>Customer_125</t>
  </si>
  <si>
    <t>Customer_93</t>
  </si>
  <si>
    <t>Customer_12</t>
  </si>
  <si>
    <t>Customer_115</t>
  </si>
  <si>
    <t>Customer_6</t>
  </si>
  <si>
    <t>Customer_99</t>
  </si>
  <si>
    <t>Customer_41</t>
  </si>
  <si>
    <t>Customer_173</t>
  </si>
  <si>
    <t>Customer_9</t>
  </si>
  <si>
    <t>Customer_96</t>
  </si>
  <si>
    <t>Customer_74</t>
  </si>
  <si>
    <t>Customer_146</t>
  </si>
  <si>
    <t>Customer_10</t>
  </si>
  <si>
    <t>Customer_110</t>
  </si>
  <si>
    <t>Customer_112</t>
  </si>
  <si>
    <t>Customer_140</t>
  </si>
  <si>
    <t>Customer_15</t>
  </si>
  <si>
    <t>Customer_94</t>
  </si>
  <si>
    <t>Customer_190</t>
  </si>
  <si>
    <t>Customer_131</t>
  </si>
  <si>
    <t>Customer_113</t>
  </si>
  <si>
    <t>Customer_7</t>
  </si>
  <si>
    <t>Customer_114</t>
  </si>
  <si>
    <t>Customer_198</t>
  </si>
  <si>
    <t>Customer_121</t>
  </si>
  <si>
    <t>Customer_166</t>
  </si>
  <si>
    <t>Customer_153</t>
  </si>
  <si>
    <t>Customer_133</t>
  </si>
  <si>
    <t>Customer_8</t>
  </si>
  <si>
    <t>Customer_72</t>
  </si>
  <si>
    <t>Customer_90</t>
  </si>
  <si>
    <t>Customer_128</t>
  </si>
  <si>
    <t>Customer_86</t>
  </si>
  <si>
    <t>Customer_85</t>
  </si>
  <si>
    <t>Customer_39</t>
  </si>
  <si>
    <t>Customer_27</t>
  </si>
  <si>
    <t>Customer_24</t>
  </si>
  <si>
    <t>Customer_55</t>
  </si>
  <si>
    <t>Customer_134</t>
  </si>
  <si>
    <t>Customer_67</t>
  </si>
  <si>
    <t>Customer_21</t>
  </si>
  <si>
    <t>Customer_187</t>
  </si>
  <si>
    <t>Customer_123</t>
  </si>
  <si>
    <t>Customer_137</t>
  </si>
  <si>
    <t>Customer_70</t>
  </si>
  <si>
    <t>Customer_109</t>
  </si>
  <si>
    <t>Customer_65</t>
  </si>
  <si>
    <t>Customer_28</t>
  </si>
  <si>
    <t>Customer_126</t>
  </si>
  <si>
    <t>Customer_177</t>
  </si>
  <si>
    <t>Customer_38</t>
  </si>
  <si>
    <t>Customer_35</t>
  </si>
  <si>
    <t>Customer_181</t>
  </si>
  <si>
    <t>Customer_143</t>
  </si>
  <si>
    <t>Customer_162</t>
  </si>
  <si>
    <t>Customer_59</t>
  </si>
  <si>
    <t>Customer_11</t>
  </si>
  <si>
    <t>Customer_77</t>
  </si>
  <si>
    <t>Customer_200</t>
  </si>
  <si>
    <t>Customer_78</t>
  </si>
  <si>
    <t>Customer_117</t>
  </si>
  <si>
    <t>Customer_196</t>
  </si>
  <si>
    <t>Customer_26</t>
  </si>
  <si>
    <t>Customer_156</t>
  </si>
  <si>
    <t>Customer_32</t>
  </si>
  <si>
    <t>Customer_18</t>
  </si>
  <si>
    <t>Customer_186</t>
  </si>
  <si>
    <t>Customer_98</t>
  </si>
  <si>
    <t>Customer_176</t>
  </si>
  <si>
    <t>Customer_142</t>
  </si>
  <si>
    <t>Customer_34</t>
  </si>
  <si>
    <t>Customer_48</t>
  </si>
  <si>
    <t>Customer_188</t>
  </si>
  <si>
    <t>Customer_88</t>
  </si>
  <si>
    <t>Customer_195</t>
  </si>
  <si>
    <t>Customer_56</t>
  </si>
  <si>
    <t>Customer_193</t>
  </si>
  <si>
    <t>Customer_120</t>
  </si>
  <si>
    <t>Customer_172</t>
  </si>
  <si>
    <t>Customer_43</t>
  </si>
  <si>
    <t>Customer_100</t>
  </si>
  <si>
    <t>Customer_89</t>
  </si>
  <si>
    <t>Customer_20</t>
  </si>
  <si>
    <t>Customer_197</t>
  </si>
  <si>
    <t>Customer_42</t>
  </si>
  <si>
    <t>Customer_63</t>
  </si>
  <si>
    <t>Uttar Pradesh</t>
  </si>
  <si>
    <t>Madhya Pradesh</t>
  </si>
  <si>
    <t>Bihar</t>
  </si>
  <si>
    <t>Tamil Nadu</t>
  </si>
  <si>
    <t>Maharashtra</t>
  </si>
  <si>
    <t>West Bengal</t>
  </si>
  <si>
    <t>Jharkhand</t>
  </si>
  <si>
    <t>Gujarat</t>
  </si>
  <si>
    <t>Haryana</t>
  </si>
  <si>
    <t>Rajasthan</t>
  </si>
  <si>
    <t>Kerala</t>
  </si>
  <si>
    <t>Punjab</t>
  </si>
  <si>
    <t>Karnataka</t>
  </si>
  <si>
    <t>Odisha</t>
  </si>
  <si>
    <t>Chhattisgarh</t>
  </si>
  <si>
    <t>Northeast</t>
  </si>
  <si>
    <t xml:space="preserve">North </t>
  </si>
  <si>
    <t>City</t>
  </si>
  <si>
    <t>Lucknow</t>
  </si>
  <si>
    <t>Gaya</t>
  </si>
  <si>
    <t>Prayagraj</t>
  </si>
  <si>
    <t>Tiruchirappalli</t>
  </si>
  <si>
    <t>Guwahati</t>
  </si>
  <si>
    <t>Howrah</t>
  </si>
  <si>
    <t>Aurangabad</t>
  </si>
  <si>
    <t>Asansol</t>
  </si>
  <si>
    <t>Dibrugarh</t>
  </si>
  <si>
    <t>Hazaribagh</t>
  </si>
  <si>
    <t>Rajkot</t>
  </si>
  <si>
    <t>Panipat</t>
  </si>
  <si>
    <t>Udaipur</t>
  </si>
  <si>
    <t>Gurugram</t>
  </si>
  <si>
    <t>Salem</t>
  </si>
  <si>
    <t>Varanasi</t>
  </si>
  <si>
    <t>Kollam</t>
  </si>
  <si>
    <t>Agra</t>
  </si>
  <si>
    <t>Bathinda</t>
  </si>
  <si>
    <t>Kolkata</t>
  </si>
  <si>
    <t>Mysuru</t>
  </si>
  <si>
    <t>Ludhiana</t>
  </si>
  <si>
    <t>Patna</t>
  </si>
  <si>
    <t>Rourkela</t>
  </si>
  <si>
    <t>Dhanbad</t>
  </si>
  <si>
    <t>Vadodara</t>
  </si>
  <si>
    <t>Kochi</t>
  </si>
  <si>
    <t>Bhavnagar</t>
  </si>
  <si>
    <t>Bokaro</t>
  </si>
  <si>
    <t>Ujjain</t>
  </si>
  <si>
    <t>Bhagalpur</t>
  </si>
  <si>
    <t>Mangaluru</t>
  </si>
  <si>
    <t>Coimbatore</t>
  </si>
  <si>
    <t>Faridabad</t>
  </si>
  <si>
    <t>Bilaspur</t>
  </si>
  <si>
    <t>Jamshedpur</t>
  </si>
  <si>
    <t>Darbhanga</t>
  </si>
  <si>
    <t>Tezpur</t>
  </si>
  <si>
    <t>Raipur</t>
  </si>
  <si>
    <t>Bengaluru</t>
  </si>
  <si>
    <t>Sambalpur</t>
  </si>
  <si>
    <t>Gwalior</t>
  </si>
  <si>
    <t>Ranchi</t>
  </si>
  <si>
    <t>Ambala</t>
  </si>
  <si>
    <t>Kozhikode</t>
  </si>
  <si>
    <t>Chennai</t>
  </si>
  <si>
    <t>Korba</t>
  </si>
  <si>
    <t>Durgapur</t>
  </si>
  <si>
    <t>Madurai</t>
  </si>
  <si>
    <t>Bhilai</t>
  </si>
  <si>
    <t>Bikaner</t>
  </si>
  <si>
    <t>Thrissur</t>
  </si>
  <si>
    <t>Jorhat</t>
  </si>
  <si>
    <t>Hubballi</t>
  </si>
  <si>
    <t>Jabalpur</t>
  </si>
  <si>
    <t>Bhubaneswar</t>
  </si>
  <si>
    <t>Nashik</t>
  </si>
  <si>
    <t>Patiala</t>
  </si>
  <si>
    <t>Ahmedabad</t>
  </si>
  <si>
    <t>Belagavi</t>
  </si>
  <si>
    <t>Cuttack</t>
  </si>
  <si>
    <t>Thiruvananthapuram</t>
  </si>
  <si>
    <t>Amritsar</t>
  </si>
  <si>
    <t>Jodhpur</t>
  </si>
  <si>
    <t>Durg</t>
  </si>
  <si>
    <t>Silchar</t>
  </si>
  <si>
    <t>Kota</t>
  </si>
  <si>
    <t>Jaipur</t>
  </si>
  <si>
    <t>Jalandhar</t>
  </si>
  <si>
    <t>Surat</t>
  </si>
  <si>
    <t>Siliguri</t>
  </si>
  <si>
    <t>Karnal</t>
  </si>
  <si>
    <t>Nagpur</t>
  </si>
  <si>
    <t>Puri</t>
  </si>
  <si>
    <t>Muzaffarpur</t>
  </si>
  <si>
    <t>Kanpur</t>
  </si>
  <si>
    <t>Pune</t>
  </si>
  <si>
    <t>Total Cost</t>
  </si>
  <si>
    <t xml:space="preserve">Total Cost </t>
  </si>
  <si>
    <t>Row Labels</t>
  </si>
  <si>
    <t xml:space="preserve">Region </t>
  </si>
  <si>
    <t>Payment mode</t>
  </si>
  <si>
    <t xml:space="preserve">Vlookup &amp; Xlookup </t>
  </si>
  <si>
    <t>Date</t>
  </si>
  <si>
    <t>Unit Cost</t>
  </si>
  <si>
    <t>2024</t>
  </si>
  <si>
    <t>2025</t>
  </si>
  <si>
    <t>2026</t>
  </si>
  <si>
    <t>Column Labels</t>
  </si>
  <si>
    <t>Count of Customer Name</t>
  </si>
  <si>
    <t>Count of Product</t>
  </si>
  <si>
    <t>Business Insights</t>
  </si>
  <si>
    <t>2. Tablet shows highest profit margin among all products.</t>
  </si>
  <si>
    <t>3. Cash payment method accounts for the majority of transactions, indicating customer preference.</t>
  </si>
  <si>
    <t>4. Electronics category most profitable.</t>
  </si>
  <si>
    <t>1. Identified top 3 regions contributing 60% of revenue and highlighted loss-making categories, improving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</si>
</sst>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yyyy\-mm\-dd"/>
    <numFmt numFmtId="165" formatCode="&quot;₹&quot;\ #,##0.00"/>
    <numFmt numFmtId="166" formatCode="_ &quot;₹&quot;\ * #,##0_ ;_ &quot;₹&quot;\ * \-#,##0_ ;_ &quot;₹&quot;\ * &quot;-&quot;??_ ;_ @_ "/>
  </numFmts>
  <fonts count="11" x14ac:knownFonts="1">
    <font>
      <sz val="11"/>
      <color theme="1"/>
      <name val="Calibri"/>
      <family val="2"/>
      <scheme val="minor"/>
    </font>
    <font>
      <sz val="8"/>
      <name val="Calibri"/>
      <family val="2"/>
      <scheme val="minor"/>
    </font>
    <font>
      <sz val="11"/>
      <color theme="1"/>
      <name val="Calibri"/>
      <family val="2"/>
      <scheme val="minor"/>
    </font>
    <font>
      <sz val="20"/>
      <color theme="1"/>
      <name val="Calibri"/>
      <family val="2"/>
      <scheme val="minor"/>
    </font>
    <font>
      <b/>
      <sz val="15"/>
      <name val="Calibri"/>
      <family val="2"/>
    </font>
    <font>
      <b/>
      <sz val="15"/>
      <color theme="1"/>
      <name val="Calibri"/>
      <family val="2"/>
      <scheme val="minor"/>
    </font>
    <font>
      <sz val="15"/>
      <color theme="1"/>
      <name val="Calibri"/>
      <family val="2"/>
      <scheme val="minor"/>
    </font>
    <font>
      <b/>
      <sz val="14"/>
      <color theme="1"/>
      <name val="Calibri"/>
      <family val="2"/>
      <scheme val="minor"/>
    </font>
    <font>
      <sz val="16"/>
      <color theme="1"/>
      <name val="Calibri"/>
      <family val="2"/>
      <scheme val="minor"/>
    </font>
    <font>
      <sz val="20"/>
      <color theme="5" tint="-0.249977111117893"/>
      <name val="Bahnschrift SemiBold"/>
      <family val="2"/>
    </font>
    <font>
      <sz val="18"/>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rgb="FF92D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s>
  <cellStyleXfs count="2">
    <xf numFmtId="0" fontId="0" fillId="0" borderId="0"/>
    <xf numFmtId="44" fontId="2" fillId="0" borderId="0" applyFont="0" applyFill="0" applyBorder="0" applyAlignment="0" applyProtection="0"/>
  </cellStyleXfs>
  <cellXfs count="48">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4" fillId="0" borderId="1" xfId="0" applyFont="1" applyBorder="1"/>
    <xf numFmtId="0" fontId="5" fillId="0" borderId="1" xfId="0" applyFont="1" applyBorder="1"/>
    <xf numFmtId="0" fontId="0" fillId="0" borderId="1" xfId="0" applyBorder="1"/>
    <xf numFmtId="0" fontId="6" fillId="0" borderId="1" xfId="0" applyFont="1" applyBorder="1"/>
    <xf numFmtId="44" fontId="6" fillId="0" borderId="1" xfId="0" applyNumberFormat="1" applyFont="1" applyBorder="1"/>
    <xf numFmtId="0" fontId="4" fillId="0" borderId="4" xfId="0" applyFont="1" applyBorder="1"/>
    <xf numFmtId="0" fontId="5" fillId="0" borderId="5" xfId="0" applyFont="1" applyBorder="1"/>
    <xf numFmtId="0" fontId="6" fillId="0" borderId="4" xfId="0" applyFont="1" applyBorder="1"/>
    <xf numFmtId="0" fontId="5" fillId="0" borderId="6" xfId="0" applyFont="1" applyBorder="1"/>
    <xf numFmtId="44" fontId="6" fillId="0" borderId="7" xfId="0" applyNumberFormat="1" applyFont="1" applyBorder="1"/>
    <xf numFmtId="0" fontId="0" fillId="0" borderId="7" xfId="0" applyBorder="1"/>
    <xf numFmtId="0" fontId="5" fillId="0" borderId="7" xfId="0" applyFont="1" applyBorder="1"/>
    <xf numFmtId="0" fontId="6" fillId="0" borderId="5" xfId="0" applyFont="1" applyBorder="1"/>
    <xf numFmtId="0" fontId="0" fillId="0" borderId="5" xfId="0" applyBorder="1"/>
    <xf numFmtId="0" fontId="6" fillId="0" borderId="8" xfId="0" applyFont="1" applyBorder="1"/>
    <xf numFmtId="0" fontId="6" fillId="0" borderId="6" xfId="0" applyFont="1" applyBorder="1"/>
    <xf numFmtId="0" fontId="7" fillId="0" borderId="2" xfId="0" applyFont="1" applyBorder="1"/>
    <xf numFmtId="0" fontId="7" fillId="0" borderId="3" xfId="0" applyFont="1" applyBorder="1"/>
    <xf numFmtId="0" fontId="0" fillId="0" borderId="0" xfId="0" applyAlignment="1">
      <alignment wrapText="1"/>
    </xf>
    <xf numFmtId="44" fontId="0" fillId="0" borderId="0" xfId="0" applyNumberFormat="1"/>
    <xf numFmtId="44" fontId="0" fillId="0" borderId="0" xfId="1" applyFont="1"/>
    <xf numFmtId="44" fontId="6" fillId="0" borderId="5" xfId="0" applyNumberFormat="1" applyFont="1" applyBorder="1"/>
    <xf numFmtId="0" fontId="0" fillId="0" borderId="12" xfId="0" applyBorder="1"/>
    <xf numFmtId="0" fontId="8" fillId="0" borderId="4" xfId="0" applyFont="1" applyBorder="1"/>
    <xf numFmtId="0" fontId="8" fillId="0" borderId="1" xfId="0" applyFont="1" applyBorder="1"/>
    <xf numFmtId="0" fontId="8" fillId="0" borderId="5" xfId="0" applyFont="1" applyBorder="1"/>
    <xf numFmtId="0" fontId="8" fillId="0" borderId="6" xfId="0" applyFont="1" applyBorder="1"/>
    <xf numFmtId="0" fontId="8" fillId="0" borderId="7" xfId="0" applyFont="1" applyBorder="1"/>
    <xf numFmtId="0" fontId="8" fillId="0" borderId="8" xfId="0" applyFont="1" applyBorder="1"/>
    <xf numFmtId="0" fontId="0" fillId="0" borderId="8" xfId="0" applyBorder="1"/>
    <xf numFmtId="0" fontId="10" fillId="0" borderId="4" xfId="0" applyFont="1" applyBorder="1"/>
    <xf numFmtId="0" fontId="10" fillId="0" borderId="6" xfId="0" applyFont="1" applyBorder="1"/>
    <xf numFmtId="0" fontId="0" fillId="2" borderId="0" xfId="0" applyFill="1"/>
    <xf numFmtId="166" fontId="0" fillId="0" borderId="0" xfId="0" applyNumberFormat="1"/>
    <xf numFmtId="0" fontId="8" fillId="0" borderId="9" xfId="0" applyFont="1" applyBorder="1" applyAlignment="1">
      <alignment horizontal="center"/>
    </xf>
    <xf numFmtId="0" fontId="8" fillId="0" borderId="10" xfId="0" applyFont="1" applyBorder="1" applyAlignment="1">
      <alignment horizontal="center"/>
    </xf>
    <xf numFmtId="0" fontId="8" fillId="0" borderId="11"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9" fillId="3" borderId="9" xfId="0" applyFont="1" applyFill="1" applyBorder="1" applyAlignment="1">
      <alignment horizontal="center"/>
    </xf>
    <xf numFmtId="0" fontId="9" fillId="3" borderId="10" xfId="0" applyFont="1" applyFill="1" applyBorder="1" applyAlignment="1">
      <alignment horizontal="center"/>
    </xf>
    <xf numFmtId="0" fontId="9" fillId="3" borderId="11" xfId="0" applyFont="1" applyFill="1" applyBorder="1" applyAlignment="1">
      <alignment horizontal="center"/>
    </xf>
  </cellXfs>
  <cellStyles count="2">
    <cellStyle name="Currency" xfId="1" builtinId="4"/>
    <cellStyle name="Normal" xfId="0" builtinId="0"/>
  </cellStyles>
  <dxfs count="6">
    <dxf>
      <numFmt numFmtId="166" formatCode="_ &quot;₹&quot;\ * #,##0_ ;_ &quot;₹&quot;\ * \-#,##0_ ;_ &quot;₹&quot;\ * &quot;-&quot;??_ ;_ @_ "/>
    </dxf>
    <dxf>
      <numFmt numFmtId="166" formatCode="_ &quot;₹&quot;\ * #,##0_ ;_ &quot;₹&quot;\ * \-#,##0_ ;_ &quot;₹&quot;\ * &quot;-&quot;??_ ;_ @_ "/>
    </dxf>
    <dxf>
      <fill>
        <patternFill>
          <bgColor theme="4"/>
        </patternFill>
      </fill>
    </dxf>
    <dxf>
      <font>
        <color rgb="FF0070C0"/>
      </font>
      <fill>
        <patternFill>
          <bgColor theme="4"/>
        </patternFill>
      </fill>
    </dxf>
    <dxf>
      <fill>
        <patternFill>
          <bgColor theme="7" tint="-0.24994659260841701"/>
        </patternFill>
      </fill>
    </dxf>
    <dxf>
      <font>
        <color rgb="FF0070C0"/>
      </font>
    </dxf>
  </dxfs>
  <tableStyles count="4" defaultTableStyle="TableStyleMedium2" defaultPivotStyle="PivotStyleLight16">
    <tableStyle name="Slicer Style 1" pivot="0" table="0" count="1" xr9:uid="{23170934-3849-4659-9277-1AF3DF3AD36E}">
      <tableStyleElement type="wholeTable" dxfId="5"/>
    </tableStyle>
    <tableStyle name="Slicer Style 2" pivot="0" table="0" count="5" xr9:uid="{46485208-C387-4934-8BC7-67A177D66969}">
      <tableStyleElement type="wholeTable" dxfId="4"/>
    </tableStyle>
    <tableStyle name="Slicer Style 3" pivot="0" table="0" count="1" xr9:uid="{E6F51DA4-1335-4678-A5E7-FC5B467426C8}">
      <tableStyleElement type="wholeTable" dxfId="3"/>
    </tableStyle>
    <tableStyle name="Slicer Style 4" pivot="0" table="0" count="3" xr9:uid="{61DE55C9-F85F-4A96-B02C-8CAABD7BE6CC}">
      <tableStyleElement type="wholeTable" dxfId="2"/>
    </tableStyle>
  </tableStyles>
  <colors>
    <mruColors>
      <color rgb="FF66CCFF"/>
      <color rgb="FF93ADDD"/>
      <color rgb="FF3399FF"/>
      <color rgb="FFFF6600"/>
    </mruColors>
  </colors>
  <extLst>
    <ext xmlns:x14="http://schemas.microsoft.com/office/spreadsheetml/2009/9/main" uri="{46F421CA-312F-682f-3DD2-61675219B42D}">
      <x14:dxfs count="6">
        <dxf>
          <fill>
            <patternFill>
              <bgColor rgb="FF00B050"/>
            </patternFill>
          </fill>
        </dxf>
        <dxf>
          <fill>
            <patternFill>
              <bgColor rgb="FF00B050"/>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5"/>
            <x14:slicerStyleElement type="selectedItemWithNoData" dxfId="4"/>
            <x14:slicerStyleElement type="hoveredSelectedItemWithData" dxfId="3"/>
            <x14:slicerStyleElement type="hoveredSelectedItemWithNoData" dxfId="2"/>
          </x14:slicerStyleElements>
        </x14:slicerStyle>
        <x14:slicerStyle name="Slicer Style 3"/>
        <x14:slicerStyle name="Slicer Style 4">
          <x14:slicerStyleElements>
            <x14:slicerStyleElement type="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[KPI Project.xlsx]Pivot Table!PivotTable1</c:name>
    <c:fmtId val="27"/>
  </c:pivotSource>
  <c:chart>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14696462300735"/>
          <c:y val="4.4215648799237617E-2"/>
          <c:w val="0.69161536987526351"/>
          <c:h val="0.8558879430026094"/>
        </c:manualLayout>
      </c:layout>
      <c:barChart>
        <c:barDir val="col"/>
        <c:grouping val="clustered"/>
        <c:varyColors val="0"/>
        <c:ser>
          <c:idx val="0"/>
          <c:order val="0"/>
          <c:tx>
            <c:strRef>
              <c:f>'Pivot Table'!$B$3:$B$4</c:f>
              <c:strCache>
                <c:ptCount val="1"/>
                <c:pt idx="0">
                  <c:v>Accessories</c:v>
                </c:pt>
              </c:strCache>
            </c:strRef>
          </c:tx>
          <c:spPr>
            <a:solidFill>
              <a:schemeClr val="accent5">
                <a:shade val="58000"/>
              </a:schemeClr>
            </a:solidFill>
            <a:ln>
              <a:noFill/>
            </a:ln>
            <a:effectLst/>
          </c:spPr>
          <c:invertIfNegative val="0"/>
          <c:cat>
            <c:strRef>
              <c:f>'Pivot Table'!$A$5:$A$8</c:f>
              <c:strCache>
                <c:ptCount val="3"/>
                <c:pt idx="0">
                  <c:v>2024</c:v>
                </c:pt>
                <c:pt idx="1">
                  <c:v>2025</c:v>
                </c:pt>
                <c:pt idx="2">
                  <c:v>2026</c:v>
                </c:pt>
              </c:strCache>
            </c:strRef>
          </c:cat>
          <c:val>
            <c:numRef>
              <c:f>'Pivot Table'!$B$5:$B$8</c:f>
              <c:numCache>
                <c:formatCode>"₹"\ #,##0.00</c:formatCode>
                <c:ptCount val="3"/>
                <c:pt idx="0">
                  <c:v>38605.799999999988</c:v>
                </c:pt>
                <c:pt idx="1">
                  <c:v>35073.43</c:v>
                </c:pt>
                <c:pt idx="2">
                  <c:v>28646.41</c:v>
                </c:pt>
              </c:numCache>
            </c:numRef>
          </c:val>
          <c:extLst>
            <c:ext xmlns:c16="http://schemas.microsoft.com/office/drawing/2014/chart" uri="{C3380CC4-5D6E-409C-BE32-E72D297353CC}">
              <c16:uniqueId val="{00000000-7BFE-4A10-9258-AA8578DB63CC}"/>
            </c:ext>
          </c:extLst>
        </c:ser>
        <c:ser>
          <c:idx val="1"/>
          <c:order val="1"/>
          <c:tx>
            <c:strRef>
              <c:f>'Pivot Table'!$C$3:$C$4</c:f>
              <c:strCache>
                <c:ptCount val="1"/>
                <c:pt idx="0">
                  <c:v>Laptop</c:v>
                </c:pt>
              </c:strCache>
            </c:strRef>
          </c:tx>
          <c:spPr>
            <a:solidFill>
              <a:schemeClr val="accent5">
                <a:shade val="86000"/>
              </a:schemeClr>
            </a:solidFill>
            <a:ln>
              <a:noFill/>
            </a:ln>
            <a:effectLst/>
          </c:spPr>
          <c:invertIfNegative val="0"/>
          <c:cat>
            <c:strRef>
              <c:f>'Pivot Table'!$A$5:$A$8</c:f>
              <c:strCache>
                <c:ptCount val="3"/>
                <c:pt idx="0">
                  <c:v>2024</c:v>
                </c:pt>
                <c:pt idx="1">
                  <c:v>2025</c:v>
                </c:pt>
                <c:pt idx="2">
                  <c:v>2026</c:v>
                </c:pt>
              </c:strCache>
            </c:strRef>
          </c:cat>
          <c:val>
            <c:numRef>
              <c:f>'Pivot Table'!$C$5:$C$8</c:f>
              <c:numCache>
                <c:formatCode>"₹"\ #,##0.00</c:formatCode>
                <c:ptCount val="3"/>
                <c:pt idx="0">
                  <c:v>41604.959999999985</c:v>
                </c:pt>
                <c:pt idx="1">
                  <c:v>47519.94000000001</c:v>
                </c:pt>
                <c:pt idx="2">
                  <c:v>31582.530000000006</c:v>
                </c:pt>
              </c:numCache>
            </c:numRef>
          </c:val>
          <c:extLst>
            <c:ext xmlns:c16="http://schemas.microsoft.com/office/drawing/2014/chart" uri="{C3380CC4-5D6E-409C-BE32-E72D297353CC}">
              <c16:uniqueId val="{00000010-7BFE-4A10-9258-AA8578DB63CC}"/>
            </c:ext>
          </c:extLst>
        </c:ser>
        <c:ser>
          <c:idx val="2"/>
          <c:order val="2"/>
          <c:tx>
            <c:strRef>
              <c:f>'Pivot Table'!$D$3:$D$4</c:f>
              <c:strCache>
                <c:ptCount val="1"/>
                <c:pt idx="0">
                  <c:v>Mobile</c:v>
                </c:pt>
              </c:strCache>
            </c:strRef>
          </c:tx>
          <c:spPr>
            <a:solidFill>
              <a:schemeClr val="accent5">
                <a:tint val="86000"/>
              </a:schemeClr>
            </a:solidFill>
            <a:ln>
              <a:noFill/>
            </a:ln>
            <a:effectLst/>
          </c:spPr>
          <c:invertIfNegative val="0"/>
          <c:cat>
            <c:strRef>
              <c:f>'Pivot Table'!$A$5:$A$8</c:f>
              <c:strCache>
                <c:ptCount val="3"/>
                <c:pt idx="0">
                  <c:v>2024</c:v>
                </c:pt>
                <c:pt idx="1">
                  <c:v>2025</c:v>
                </c:pt>
                <c:pt idx="2">
                  <c:v>2026</c:v>
                </c:pt>
              </c:strCache>
            </c:strRef>
          </c:cat>
          <c:val>
            <c:numRef>
              <c:f>'Pivot Table'!$D$5:$D$8</c:f>
              <c:numCache>
                <c:formatCode>"₹"\ #,##0.00</c:formatCode>
                <c:ptCount val="3"/>
                <c:pt idx="0">
                  <c:v>33107.930000000008</c:v>
                </c:pt>
                <c:pt idx="1">
                  <c:v>33836.039999999994</c:v>
                </c:pt>
                <c:pt idx="2">
                  <c:v>24530.7</c:v>
                </c:pt>
              </c:numCache>
            </c:numRef>
          </c:val>
          <c:extLst>
            <c:ext xmlns:c16="http://schemas.microsoft.com/office/drawing/2014/chart" uri="{C3380CC4-5D6E-409C-BE32-E72D297353CC}">
              <c16:uniqueId val="{00000011-7BFE-4A10-9258-AA8578DB63CC}"/>
            </c:ext>
          </c:extLst>
        </c:ser>
        <c:ser>
          <c:idx val="3"/>
          <c:order val="3"/>
          <c:tx>
            <c:strRef>
              <c:f>'Pivot Table'!$E$3:$E$4</c:f>
              <c:strCache>
                <c:ptCount val="1"/>
                <c:pt idx="0">
                  <c:v>Tablet</c:v>
                </c:pt>
              </c:strCache>
            </c:strRef>
          </c:tx>
          <c:spPr>
            <a:solidFill>
              <a:schemeClr val="accent5">
                <a:tint val="58000"/>
              </a:schemeClr>
            </a:solidFill>
            <a:ln>
              <a:noFill/>
            </a:ln>
            <a:effectLst/>
          </c:spPr>
          <c:invertIfNegative val="0"/>
          <c:cat>
            <c:strRef>
              <c:f>'Pivot Table'!$A$5:$A$8</c:f>
              <c:strCache>
                <c:ptCount val="3"/>
                <c:pt idx="0">
                  <c:v>2024</c:v>
                </c:pt>
                <c:pt idx="1">
                  <c:v>2025</c:v>
                </c:pt>
                <c:pt idx="2">
                  <c:v>2026</c:v>
                </c:pt>
              </c:strCache>
            </c:strRef>
          </c:cat>
          <c:val>
            <c:numRef>
              <c:f>'Pivot Table'!$E$5:$E$8</c:f>
              <c:numCache>
                <c:formatCode>"₹"\ #,##0.00</c:formatCode>
                <c:ptCount val="3"/>
                <c:pt idx="0">
                  <c:v>48862.569999999978</c:v>
                </c:pt>
                <c:pt idx="1">
                  <c:v>44050.030000000013</c:v>
                </c:pt>
                <c:pt idx="2">
                  <c:v>29959.34</c:v>
                </c:pt>
              </c:numCache>
            </c:numRef>
          </c:val>
          <c:extLst>
            <c:ext xmlns:c16="http://schemas.microsoft.com/office/drawing/2014/chart" uri="{C3380CC4-5D6E-409C-BE32-E72D297353CC}">
              <c16:uniqueId val="{00000012-7BFE-4A10-9258-AA8578DB63CC}"/>
            </c:ext>
          </c:extLst>
        </c:ser>
        <c:dLbls>
          <c:showLegendKey val="0"/>
          <c:showVal val="0"/>
          <c:showCatName val="0"/>
          <c:showSerName val="0"/>
          <c:showPercent val="0"/>
          <c:showBubbleSize val="0"/>
        </c:dLbls>
        <c:gapWidth val="219"/>
        <c:overlap val="-27"/>
        <c:axId val="63420655"/>
        <c:axId val="63414895"/>
      </c:barChart>
      <c:catAx>
        <c:axId val="6342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3414895"/>
        <c:crosses val="autoZero"/>
        <c:auto val="1"/>
        <c:lblAlgn val="ctr"/>
        <c:lblOffset val="100"/>
        <c:noMultiLvlLbl val="0"/>
      </c:catAx>
      <c:valAx>
        <c:axId val="63414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3420655"/>
        <c:crosses val="autoZero"/>
        <c:crossBetween val="between"/>
      </c:valAx>
      <c:spPr>
        <a:noFill/>
        <a:ln w="25400">
          <a:noFill/>
        </a:ln>
        <a:effectLst/>
      </c:spPr>
    </c:plotArea>
    <c:legend>
      <c:legendPos val="r"/>
      <c:layout>
        <c:manualLayout>
          <c:xMode val="edge"/>
          <c:yMode val="edge"/>
          <c:x val="0.83275440899398556"/>
          <c:y val="0.15550304995454634"/>
          <c:w val="0.1533783406288052"/>
          <c:h val="0.60892734372304025"/>
        </c:manualLayout>
      </c:layout>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Project.xlsx]Pivot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cap="none" spc="0">
                <a:ln w="0"/>
                <a:solidFill>
                  <a:schemeClr val="tx1"/>
                </a:solidFill>
                <a:effectLst>
                  <a:outerShdw blurRad="38100" dist="19050" dir="2700000" algn="tl" rotWithShape="0">
                    <a:schemeClr val="dk1">
                      <a:alpha val="40000"/>
                    </a:schemeClr>
                  </a:outerShdw>
                </a:effectLst>
              </a:rPr>
              <a:t>Sales</a:t>
            </a:r>
            <a:r>
              <a:rPr lang="en-US" sz="2000" b="1" cap="none" spc="0" baseline="0">
                <a:ln w="0"/>
                <a:solidFill>
                  <a:schemeClr val="tx1"/>
                </a:solidFill>
                <a:effectLst>
                  <a:outerShdw blurRad="38100" dist="19050" dir="2700000" algn="tl" rotWithShape="0">
                    <a:schemeClr val="dk1">
                      <a:alpha val="40000"/>
                    </a:schemeClr>
                  </a:outerShdw>
                </a:effectLst>
              </a:rPr>
              <a:t> by Region</a:t>
            </a:r>
            <a:endParaRPr lang="en-US" sz="2000" b="1"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726975695103185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74844614315998"/>
          <c:y val="0.13130836448599356"/>
          <c:w val="0.58232523512865564"/>
          <c:h val="0.68737646000617836"/>
        </c:manualLayout>
      </c:layout>
      <c:areaChart>
        <c:grouping val="standard"/>
        <c:varyColors val="0"/>
        <c:ser>
          <c:idx val="0"/>
          <c:order val="0"/>
          <c:tx>
            <c:strRef>
              <c:f>'Pivot Table'!$B$12</c:f>
              <c:strCache>
                <c:ptCount val="1"/>
                <c:pt idx="0">
                  <c:v>Total</c:v>
                </c:pt>
              </c:strCache>
            </c:strRef>
          </c:tx>
          <c:spPr>
            <a:solidFill>
              <a:schemeClr val="accent1"/>
            </a:solidFill>
            <a:ln>
              <a:noFill/>
            </a:ln>
            <a:effectLst/>
          </c:spPr>
          <c:cat>
            <c:strRef>
              <c:f>'Pivot Table'!$A$13:$A$19</c:f>
              <c:strCache>
                <c:ptCount val="6"/>
                <c:pt idx="0">
                  <c:v>East</c:v>
                </c:pt>
                <c:pt idx="1">
                  <c:v>North</c:v>
                </c:pt>
                <c:pt idx="2">
                  <c:v>North </c:v>
                </c:pt>
                <c:pt idx="3">
                  <c:v>Northeast</c:v>
                </c:pt>
                <c:pt idx="4">
                  <c:v>South</c:v>
                </c:pt>
                <c:pt idx="5">
                  <c:v>West</c:v>
                </c:pt>
              </c:strCache>
            </c:strRef>
          </c:cat>
          <c:val>
            <c:numRef>
              <c:f>'Pivot Table'!$B$13:$B$19</c:f>
              <c:numCache>
                <c:formatCode>_("₹"* #,##0.00_);_("₹"* \(#,##0.00\);_("₹"* "-"??_);_(@_)</c:formatCode>
                <c:ptCount val="6"/>
                <c:pt idx="0">
                  <c:v>488554.02000000008</c:v>
                </c:pt>
                <c:pt idx="1">
                  <c:v>633941.49999999988</c:v>
                </c:pt>
                <c:pt idx="2">
                  <c:v>4813.18</c:v>
                </c:pt>
                <c:pt idx="3">
                  <c:v>110443.24999999997</c:v>
                </c:pt>
                <c:pt idx="4">
                  <c:v>340459.56000000006</c:v>
                </c:pt>
                <c:pt idx="5">
                  <c:v>330654.07000000007</c:v>
                </c:pt>
              </c:numCache>
            </c:numRef>
          </c:val>
          <c:extLst>
            <c:ext xmlns:c16="http://schemas.microsoft.com/office/drawing/2014/chart" uri="{C3380CC4-5D6E-409C-BE32-E72D297353CC}">
              <c16:uniqueId val="{00000000-577D-40CE-92FB-DFABD5269A09}"/>
            </c:ext>
          </c:extLst>
        </c:ser>
        <c:dLbls>
          <c:showLegendKey val="0"/>
          <c:showVal val="0"/>
          <c:showCatName val="0"/>
          <c:showSerName val="0"/>
          <c:showPercent val="0"/>
          <c:showBubbleSize val="0"/>
        </c:dLbls>
        <c:axId val="1852201519"/>
        <c:axId val="1858628063"/>
      </c:areaChart>
      <c:catAx>
        <c:axId val="1852201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8628063"/>
        <c:crosses val="autoZero"/>
        <c:auto val="1"/>
        <c:lblAlgn val="ctr"/>
        <c:lblOffset val="100"/>
        <c:noMultiLvlLbl val="0"/>
      </c:catAx>
      <c:valAx>
        <c:axId val="18586280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2201519"/>
        <c:crosses val="autoZero"/>
        <c:crossBetween val="midCat"/>
      </c:valAx>
      <c:spPr>
        <a:noFill/>
        <a:ln>
          <a:noFill/>
        </a:ln>
        <a:effectLst/>
      </c:spPr>
    </c:plotArea>
    <c:legend>
      <c:legendPos val="r"/>
      <c:layout>
        <c:manualLayout>
          <c:xMode val="edge"/>
          <c:yMode val="edge"/>
          <c:x val="0.83059014426228495"/>
          <c:y val="0.10923008790102876"/>
          <c:w val="0.14329159038128039"/>
          <c:h val="7.1405360715054503E-2"/>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[KPI Project.xlsx]Pivot Table!PivotTable9</c:name>
    <c:fmtId val="9"/>
  </c:pivotSource>
  <c:chart>
    <c:title>
      <c:tx>
        <c:rich>
          <a:bodyPr rot="0" spcFirstLastPara="1" vertOverflow="ellipsis" vert="horz" wrap="square" anchor="ctr" anchorCtr="1"/>
          <a:lstStyle/>
          <a:p>
            <a:pPr>
              <a:defRPr sz="2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000" b="1" cap="none" spc="0">
                <a:ln w="0"/>
                <a:solidFill>
                  <a:schemeClr val="tx1"/>
                </a:solidFill>
                <a:effectLst>
                  <a:outerShdw blurRad="38100" dist="19050" dir="2700000" algn="tl" rotWithShape="0">
                    <a:schemeClr val="dk1">
                      <a:alpha val="40000"/>
                    </a:schemeClr>
                  </a:outerShdw>
                </a:effectLst>
              </a:rPr>
              <a:t>Customer</a:t>
            </a:r>
            <a:r>
              <a:rPr lang="en-US" sz="2000" b="1" cap="none" spc="0" baseline="0">
                <a:ln w="0"/>
                <a:solidFill>
                  <a:schemeClr val="tx1"/>
                </a:solidFill>
                <a:effectLst>
                  <a:outerShdw blurRad="38100" dist="19050" dir="2700000" algn="tl" rotWithShape="0">
                    <a:schemeClr val="dk1">
                      <a:alpha val="40000"/>
                    </a:schemeClr>
                  </a:outerShdw>
                </a:effectLst>
              </a:rPr>
              <a:t> Count by Number</a:t>
            </a:r>
            <a:endParaRPr lang="en-US" sz="2000"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2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fld id="{6F3F5462-A8AE-4029-A196-D2EB0C9DA873}" type="VALUE">
                  <a:rPr lang="en-US" sz="1600"/>
                  <a:pPr>
                    <a:defRPr sz="1600"/>
                  </a:pPr>
                  <a:t>[VALUE]</a:t>
                </a:fld>
                <a:endParaRPr lang="en-IN"/>
              </a:p>
            </c:rich>
          </c:tx>
          <c:numFmt formatCode="\3\6\5"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366733330754588"/>
          <c:y val="0.20178602872461454"/>
          <c:w val="0.74552212826059006"/>
          <c:h val="0.80915370521501817"/>
        </c:manualLayout>
      </c:layout>
      <c:pieChart>
        <c:varyColors val="1"/>
        <c:ser>
          <c:idx val="0"/>
          <c:order val="0"/>
          <c:tx>
            <c:strRef>
              <c:f>'Pivot Table'!$E$12</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6B-4DBD-8A5F-EE128E4FFD3C}"/>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6B-4DBD-8A5F-EE128E4FFD3C}"/>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26B-4DBD-8A5F-EE128E4FFD3C}"/>
              </c:ext>
            </c:extLst>
          </c:dPt>
          <c:dLbls>
            <c:dLbl>
              <c:idx val="0"/>
              <c:tx>
                <c:rich>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fld id="{6F3F5462-A8AE-4029-A196-D2EB0C9DA873}" type="VALUE">
                      <a:rPr lang="en-US" sz="1600"/>
                      <a:pPr>
                        <a:defRPr sz="1600"/>
                      </a:pPr>
                      <a:t>[VALUE]</a:t>
                    </a:fld>
                    <a:endParaRPr lang="en-IN"/>
                  </a:p>
                </c:rich>
              </c:tx>
              <c:numFmt formatCode="\3\6\5"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26B-4DBD-8A5F-EE128E4FFD3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'Pivot Table'!$D$13:$D$16</c:f>
              <c:strCache>
                <c:ptCount val="3"/>
                <c:pt idx="0">
                  <c:v>2024</c:v>
                </c:pt>
                <c:pt idx="1">
                  <c:v>2025</c:v>
                </c:pt>
                <c:pt idx="2">
                  <c:v>2026</c:v>
                </c:pt>
              </c:strCache>
            </c:strRef>
          </c:cat>
          <c:val>
            <c:numRef>
              <c:f>'Pivot Table'!$E$13:$E$16</c:f>
              <c:numCache>
                <c:formatCode>General</c:formatCode>
                <c:ptCount val="3"/>
                <c:pt idx="0">
                  <c:v>365</c:v>
                </c:pt>
                <c:pt idx="1">
                  <c:v>365</c:v>
                </c:pt>
                <c:pt idx="2">
                  <c:v>270</c:v>
                </c:pt>
              </c:numCache>
            </c:numRef>
          </c:val>
          <c:extLst>
            <c:ext xmlns:c16="http://schemas.microsoft.com/office/drawing/2014/chart" uri="{C3380CC4-5D6E-409C-BE32-E72D297353CC}">
              <c16:uniqueId val="{00000006-E26B-4DBD-8A5F-EE128E4FFD3C}"/>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23282972848933184"/>
          <c:y val="6.4524124028423224E-2"/>
          <c:w val="0.56469509281920094"/>
          <c:h val="0.18238138963327821"/>
        </c:manualLayout>
      </c:layout>
      <c:overlay val="0"/>
      <c:spPr>
        <a:noFill/>
        <a:ln>
          <a:noFill/>
        </a:ln>
        <a:effectLst/>
      </c:spPr>
      <c:txPr>
        <a:bodyPr rot="0" spcFirstLastPara="1" vertOverflow="ellipsis" vert="horz" wrap="square" anchor="ctr" anchorCtr="1"/>
        <a:lstStyle/>
        <a:p>
          <a:pPr>
            <a:defRPr sz="13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[KPI Project.xlsx]Pivot Table!PivotTable16</c:name>
    <c:fmtId val="8"/>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en-US" sz="2000" b="1" cap="none" spc="0">
                <a:ln w="0"/>
                <a:solidFill>
                  <a:schemeClr val="tx1"/>
                </a:solidFill>
                <a:effectLst>
                  <a:outerShdw blurRad="38100" dist="19050" dir="2700000" algn="tl" rotWithShape="0">
                    <a:schemeClr val="dk1">
                      <a:alpha val="40000"/>
                    </a:schemeClr>
                  </a:outerShdw>
                </a:effectLst>
              </a:rPr>
              <a:t>Most Used Payment</a:t>
            </a:r>
            <a:r>
              <a:rPr lang="en-US" sz="2000" b="1" cap="none" spc="0" baseline="0">
                <a:ln w="0"/>
                <a:solidFill>
                  <a:schemeClr val="tx1"/>
                </a:solidFill>
                <a:effectLst>
                  <a:outerShdw blurRad="38100" dist="19050" dir="2700000" algn="tl" rotWithShape="0">
                    <a:schemeClr val="dk1">
                      <a:alpha val="40000"/>
                    </a:schemeClr>
                  </a:outerShdw>
                </a:effectLst>
              </a:rPr>
              <a:t> Mode</a:t>
            </a:r>
            <a:endParaRPr lang="en-US" sz="2000"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254000" sx="102000" sy="102000" algn="ctr" rotWithShape="0">
              <a:prstClr val="black">
                <a:alpha val="20000"/>
              </a:prstClr>
            </a:outerShdw>
          </a:effectLst>
        </c:spPr>
      </c:pivotFmt>
      <c:pivotFmt>
        <c:idx val="3"/>
        <c:spPr>
          <a:solidFill>
            <a:schemeClr val="accent5"/>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064348121784628"/>
          <c:y val="0.20607669223357655"/>
          <c:w val="0.76133725054137169"/>
          <c:h val="0.81271452217334583"/>
        </c:manualLayout>
      </c:layout>
      <c:pieChart>
        <c:varyColors val="1"/>
        <c:ser>
          <c:idx val="0"/>
          <c:order val="0"/>
          <c:tx>
            <c:strRef>
              <c:f>'Pivot Table'!$H$12</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D84-4202-B83D-3CBB182D6728}"/>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84-4202-B83D-3CBB182D6728}"/>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D84-4202-B83D-3CBB182D672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Table'!$G$13:$G$16</c:f>
              <c:strCache>
                <c:ptCount val="3"/>
                <c:pt idx="0">
                  <c:v>Card</c:v>
                </c:pt>
                <c:pt idx="1">
                  <c:v>Cash</c:v>
                </c:pt>
                <c:pt idx="2">
                  <c:v>UPI</c:v>
                </c:pt>
              </c:strCache>
            </c:strRef>
          </c:cat>
          <c:val>
            <c:numRef>
              <c:f>'Pivot Table'!$H$13:$H$16</c:f>
              <c:numCache>
                <c:formatCode>General</c:formatCode>
                <c:ptCount val="3"/>
                <c:pt idx="0">
                  <c:v>330</c:v>
                </c:pt>
                <c:pt idx="1">
                  <c:v>338</c:v>
                </c:pt>
                <c:pt idx="2">
                  <c:v>332</c:v>
                </c:pt>
              </c:numCache>
            </c:numRef>
          </c:val>
          <c:extLst>
            <c:ext xmlns:c16="http://schemas.microsoft.com/office/drawing/2014/chart" uri="{C3380CC4-5D6E-409C-BE32-E72D297353CC}">
              <c16:uniqueId val="{00000006-6D84-4202-B83D-3CBB182D672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4739145446428201"/>
          <c:y val="6.5933050609631283E-2"/>
          <c:w val="0.45454121100350897"/>
          <c:h val="0.17897851117644864"/>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Project.xlsx]Pivot Table!PivotTable14</c:name>
    <c:fmtId val="16"/>
  </c:pivotSource>
  <c:chart>
    <c:title>
      <c:tx>
        <c:rich>
          <a:bodyPr rot="0" spcFirstLastPara="1" vertOverflow="ellipsis" vert="horz" wrap="square" anchor="ctr" anchorCtr="1"/>
          <a:lstStyle/>
          <a:p>
            <a:pPr>
              <a:defRPr sz="2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000" b="1" cap="none" spc="0">
                <a:ln w="0"/>
                <a:solidFill>
                  <a:schemeClr val="tx1"/>
                </a:solidFill>
                <a:effectLst>
                  <a:outerShdw blurRad="38100" dist="19050" dir="2700000" algn="tl" rotWithShape="0">
                    <a:schemeClr val="dk1">
                      <a:alpha val="40000"/>
                    </a:schemeClr>
                  </a:outerShdw>
                </a:effectLst>
              </a:rPr>
              <a:t>Profit By Product</a:t>
            </a:r>
          </a:p>
        </c:rich>
      </c:tx>
      <c:overlay val="0"/>
      <c:spPr>
        <a:noFill/>
        <a:ln>
          <a:noFill/>
        </a:ln>
        <a:effectLst/>
      </c:spPr>
      <c:txPr>
        <a:bodyPr rot="0" spcFirstLastPara="1" vertOverflow="ellipsis" vert="horz" wrap="square" anchor="ctr" anchorCtr="1"/>
        <a:lstStyle/>
        <a:p>
          <a:pPr>
            <a:defRPr sz="2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99708658130947"/>
          <c:y val="2.2511517971133106E-2"/>
          <c:w val="0.79444972462532193"/>
          <c:h val="0.902901470195273"/>
        </c:manualLayout>
      </c:layout>
      <c:bar3DChart>
        <c:barDir val="col"/>
        <c:grouping val="standard"/>
        <c:varyColors val="0"/>
        <c:ser>
          <c:idx val="0"/>
          <c:order val="0"/>
          <c:tx>
            <c:strRef>
              <c:f>'Pivot Table'!$B$22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Table'!$A$23:$A$27</c:f>
              <c:strCache>
                <c:ptCount val="4"/>
                <c:pt idx="0">
                  <c:v>Accessories</c:v>
                </c:pt>
                <c:pt idx="1">
                  <c:v>Laptop</c:v>
                </c:pt>
                <c:pt idx="2">
                  <c:v>Mobile</c:v>
                </c:pt>
                <c:pt idx="3">
                  <c:v>Tablet</c:v>
                </c:pt>
              </c:strCache>
            </c:strRef>
          </c:cat>
          <c:val>
            <c:numRef>
              <c:f>'Pivot Table'!$B$23:$B$27</c:f>
              <c:numCache>
                <c:formatCode>"₹"\ #,##0.00</c:formatCode>
                <c:ptCount val="4"/>
                <c:pt idx="0">
                  <c:v>102325.64000000001</c:v>
                </c:pt>
                <c:pt idx="1">
                  <c:v>120707.43000000001</c:v>
                </c:pt>
                <c:pt idx="2">
                  <c:v>91474.670000000042</c:v>
                </c:pt>
                <c:pt idx="3">
                  <c:v>122871.94000000005</c:v>
                </c:pt>
              </c:numCache>
            </c:numRef>
          </c:val>
          <c:extLst>
            <c:ext xmlns:c16="http://schemas.microsoft.com/office/drawing/2014/chart" uri="{C3380CC4-5D6E-409C-BE32-E72D297353CC}">
              <c16:uniqueId val="{00000000-0291-47B3-A11E-2FA1E99450A5}"/>
            </c:ext>
          </c:extLst>
        </c:ser>
        <c:dLbls>
          <c:showLegendKey val="0"/>
          <c:showVal val="0"/>
          <c:showCatName val="0"/>
          <c:showSerName val="0"/>
          <c:showPercent val="0"/>
          <c:showBubbleSize val="0"/>
        </c:dLbls>
        <c:gapWidth val="150"/>
        <c:shape val="box"/>
        <c:axId val="1987236655"/>
        <c:axId val="1987237615"/>
        <c:axId val="1982648111"/>
      </c:bar3DChart>
      <c:catAx>
        <c:axId val="19872366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87237615"/>
        <c:crosses val="autoZero"/>
        <c:auto val="1"/>
        <c:lblAlgn val="ctr"/>
        <c:lblOffset val="100"/>
        <c:noMultiLvlLbl val="0"/>
      </c:catAx>
      <c:valAx>
        <c:axId val="1987237615"/>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87236655"/>
        <c:crosses val="autoZero"/>
        <c:crossBetween val="between"/>
      </c:valAx>
      <c:serAx>
        <c:axId val="1982648111"/>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87237615"/>
        <c:crosses val="autoZero"/>
      </c:serAx>
      <c:spPr>
        <a:noFill/>
        <a:ln>
          <a:noFill/>
        </a:ln>
        <a:effectLst/>
      </c:spPr>
    </c:plotArea>
    <c:legend>
      <c:legendPos val="r"/>
      <c:layout>
        <c:manualLayout>
          <c:xMode val="edge"/>
          <c:yMode val="edge"/>
          <c:x val="0.86275918635170612"/>
          <c:y val="3.8305628463108673E-3"/>
          <c:w val="0.1344630358705162"/>
          <c:h val="0.23553295421405654"/>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Project.xlsx]Pivot Table!PivotTable15</c:name>
    <c:fmtId val="10"/>
  </c:pivotSource>
  <c:chart>
    <c:title>
      <c:tx>
        <c:rich>
          <a:bodyPr rot="0" spcFirstLastPara="1" vertOverflow="ellipsis" vert="horz" wrap="square" anchor="ctr" anchorCtr="1"/>
          <a:lstStyle/>
          <a:p>
            <a:pPr>
              <a:defRPr sz="20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000" b="1" cap="none" spc="0">
                <a:ln w="0"/>
                <a:solidFill>
                  <a:schemeClr val="tx1"/>
                </a:solidFill>
                <a:effectLst>
                  <a:outerShdw blurRad="38100" dist="19050" dir="2700000" algn="tl" rotWithShape="0">
                    <a:schemeClr val="dk1">
                      <a:alpha val="40000"/>
                    </a:schemeClr>
                  </a:outerShdw>
                </a:effectLst>
              </a:rPr>
              <a:t>Sales By Category</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325240594925636"/>
          <c:y val="0.19055600721846691"/>
          <c:w val="0.64117344706911628"/>
          <c:h val="0.73191368735035067"/>
        </c:manualLayout>
      </c:layout>
      <c:bar3DChart>
        <c:barDir val="bar"/>
        <c:grouping val="stacked"/>
        <c:varyColors val="0"/>
        <c:ser>
          <c:idx val="0"/>
          <c:order val="0"/>
          <c:tx>
            <c:strRef>
              <c:f>'Pivot Table'!$E$22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Table'!$D$23:$D$27</c:f>
              <c:strCache>
                <c:ptCount val="4"/>
                <c:pt idx="0">
                  <c:v>Accessories</c:v>
                </c:pt>
                <c:pt idx="1">
                  <c:v>Laptop</c:v>
                </c:pt>
                <c:pt idx="2">
                  <c:v>Mobile</c:v>
                </c:pt>
                <c:pt idx="3">
                  <c:v>Tablet</c:v>
                </c:pt>
              </c:strCache>
            </c:strRef>
          </c:cat>
          <c:val>
            <c:numRef>
              <c:f>'Pivot Table'!$E$23:$E$27</c:f>
              <c:numCache>
                <c:formatCode>_("₹"* #,##0.00_);_("₹"* \(#,##0.00\);_("₹"* "-"??_);_(@_)</c:formatCode>
                <c:ptCount val="4"/>
                <c:pt idx="0">
                  <c:v>439406.05000000005</c:v>
                </c:pt>
                <c:pt idx="1">
                  <c:v>536622.58000000007</c:v>
                </c:pt>
                <c:pt idx="2">
                  <c:v>392010.39000000007</c:v>
                </c:pt>
                <c:pt idx="3">
                  <c:v>540826.55999999982</c:v>
                </c:pt>
              </c:numCache>
            </c:numRef>
          </c:val>
          <c:extLst>
            <c:ext xmlns:c16="http://schemas.microsoft.com/office/drawing/2014/chart" uri="{C3380CC4-5D6E-409C-BE32-E72D297353CC}">
              <c16:uniqueId val="{00000000-3789-416B-9F2F-B2CFE3E0D8A9}"/>
            </c:ext>
          </c:extLst>
        </c:ser>
        <c:dLbls>
          <c:showLegendKey val="0"/>
          <c:showVal val="1"/>
          <c:showCatName val="0"/>
          <c:showSerName val="0"/>
          <c:showPercent val="0"/>
          <c:showBubbleSize val="0"/>
        </c:dLbls>
        <c:gapWidth val="79"/>
        <c:shape val="box"/>
        <c:axId val="60635983"/>
        <c:axId val="60635023"/>
        <c:axId val="0"/>
      </c:bar3DChart>
      <c:catAx>
        <c:axId val="6063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0635023"/>
        <c:crosses val="autoZero"/>
        <c:auto val="1"/>
        <c:lblAlgn val="ctr"/>
        <c:lblOffset val="100"/>
        <c:noMultiLvlLbl val="0"/>
      </c:catAx>
      <c:valAx>
        <c:axId val="60635023"/>
        <c:scaling>
          <c:orientation val="minMax"/>
        </c:scaling>
        <c:delete val="1"/>
        <c:axPos val="b"/>
        <c:numFmt formatCode="_(&quot;₹&quot;* #,##0.00_);_(&quot;₹&quot;* \(#,##0.00\);_(&quot;₹&quot;* &quot;-&quot;??_);_(@_)" sourceLinked="1"/>
        <c:majorTickMark val="none"/>
        <c:minorTickMark val="none"/>
        <c:tickLblPos val="nextTo"/>
        <c:crossAx val="60635983"/>
        <c:crosses val="autoZero"/>
        <c:crossBetween val="between"/>
      </c:valAx>
      <c:spPr>
        <a:noFill/>
        <a:ln>
          <a:noFill/>
        </a:ln>
        <a:effectLst/>
      </c:spPr>
    </c:plotArea>
    <c:legend>
      <c:legendPos val="r"/>
      <c:layout>
        <c:manualLayout>
          <c:xMode val="edge"/>
          <c:yMode val="edge"/>
          <c:x val="0.69053696412948384"/>
          <c:y val="0.12525032786480583"/>
          <c:w val="0.16224081364829396"/>
          <c:h val="5.6884046142343089E-2"/>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162675</xdr:colOff>
      <xdr:row>0</xdr:row>
      <xdr:rowOff>119865</xdr:rowOff>
    </xdr:from>
    <xdr:to>
      <xdr:col>2</xdr:col>
      <xdr:colOff>393844</xdr:colOff>
      <xdr:row>4</xdr:row>
      <xdr:rowOff>171236</xdr:rowOff>
    </xdr:to>
    <xdr:sp macro="" textlink="">
      <xdr:nvSpPr>
        <xdr:cNvPr id="2" name="Rectangle: Rounded Corners 1">
          <a:extLst>
            <a:ext uri="{FF2B5EF4-FFF2-40B4-BE49-F238E27FC236}">
              <a16:creationId xmlns:a16="http://schemas.microsoft.com/office/drawing/2014/main" id="{BB592D48-AB37-1180-44E8-4D1210D93656}"/>
            </a:ext>
          </a:extLst>
        </xdr:cNvPr>
        <xdr:cNvSpPr/>
      </xdr:nvSpPr>
      <xdr:spPr>
        <a:xfrm>
          <a:off x="162675" y="119865"/>
          <a:ext cx="1446944" cy="770562"/>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547956</xdr:colOff>
      <xdr:row>0</xdr:row>
      <xdr:rowOff>119866</xdr:rowOff>
    </xdr:from>
    <xdr:to>
      <xdr:col>25</xdr:col>
      <xdr:colOff>410966</xdr:colOff>
      <xdr:row>4</xdr:row>
      <xdr:rowOff>171237</xdr:rowOff>
    </xdr:to>
    <xdr:sp macro="" textlink="">
      <xdr:nvSpPr>
        <xdr:cNvPr id="3" name="Rectangle: Rounded Corners 2">
          <a:extLst>
            <a:ext uri="{FF2B5EF4-FFF2-40B4-BE49-F238E27FC236}">
              <a16:creationId xmlns:a16="http://schemas.microsoft.com/office/drawing/2014/main" id="{E45B73CC-CD97-4F03-9CD0-7913589377E7}"/>
            </a:ext>
          </a:extLst>
        </xdr:cNvPr>
        <xdr:cNvSpPr/>
      </xdr:nvSpPr>
      <xdr:spPr>
        <a:xfrm>
          <a:off x="1763731" y="119866"/>
          <a:ext cx="13844426" cy="770562"/>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136987</xdr:colOff>
      <xdr:row>5</xdr:row>
      <xdr:rowOff>111302</xdr:rowOff>
    </xdr:from>
    <xdr:to>
      <xdr:col>2</xdr:col>
      <xdr:colOff>582201</xdr:colOff>
      <xdr:row>48</xdr:row>
      <xdr:rowOff>118533</xdr:rowOff>
    </xdr:to>
    <xdr:sp macro="" textlink="">
      <xdr:nvSpPr>
        <xdr:cNvPr id="4" name="Rectangle: Rounded Corners 3">
          <a:extLst>
            <a:ext uri="{FF2B5EF4-FFF2-40B4-BE49-F238E27FC236}">
              <a16:creationId xmlns:a16="http://schemas.microsoft.com/office/drawing/2014/main" id="{163774C6-4262-AA94-1E8C-71B3850EB030}"/>
            </a:ext>
          </a:extLst>
        </xdr:cNvPr>
        <xdr:cNvSpPr/>
      </xdr:nvSpPr>
      <xdr:spPr>
        <a:xfrm>
          <a:off x="136987" y="1042635"/>
          <a:ext cx="1664414" cy="8016698"/>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214043</xdr:colOff>
      <xdr:row>6</xdr:row>
      <xdr:rowOff>17123</xdr:rowOff>
    </xdr:from>
    <xdr:to>
      <xdr:col>6</xdr:col>
      <xdr:colOff>351032</xdr:colOff>
      <xdr:row>11</xdr:row>
      <xdr:rowOff>145551</xdr:rowOff>
    </xdr:to>
    <xdr:sp macro="" textlink="">
      <xdr:nvSpPr>
        <xdr:cNvPr id="5" name="Rectangle: Rounded Corners 4">
          <a:extLst>
            <a:ext uri="{FF2B5EF4-FFF2-40B4-BE49-F238E27FC236}">
              <a16:creationId xmlns:a16="http://schemas.microsoft.com/office/drawing/2014/main" id="{7DD37F05-8000-AE3A-BD9C-E8BE9D46DFE4}"/>
            </a:ext>
          </a:extLst>
        </xdr:cNvPr>
        <xdr:cNvSpPr/>
      </xdr:nvSpPr>
      <xdr:spPr>
        <a:xfrm>
          <a:off x="2037706" y="1095910"/>
          <a:ext cx="1960652" cy="1027416"/>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537681</xdr:colOff>
      <xdr:row>5</xdr:row>
      <xdr:rowOff>178085</xdr:rowOff>
    </xdr:from>
    <xdr:to>
      <xdr:col>10</xdr:col>
      <xdr:colOff>66783</xdr:colOff>
      <xdr:row>11</xdr:row>
      <xdr:rowOff>126715</xdr:rowOff>
    </xdr:to>
    <xdr:sp macro="" textlink="">
      <xdr:nvSpPr>
        <xdr:cNvPr id="7" name="Rectangle: Rounded Corners 6">
          <a:extLst>
            <a:ext uri="{FF2B5EF4-FFF2-40B4-BE49-F238E27FC236}">
              <a16:creationId xmlns:a16="http://schemas.microsoft.com/office/drawing/2014/main" id="{E253A7E7-BF97-45C8-86C7-38D7E26CD1A1}"/>
            </a:ext>
          </a:extLst>
        </xdr:cNvPr>
        <xdr:cNvSpPr/>
      </xdr:nvSpPr>
      <xdr:spPr>
        <a:xfrm>
          <a:off x="4195281" y="1109418"/>
          <a:ext cx="1967502" cy="1066230"/>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94179</xdr:colOff>
      <xdr:row>12</xdr:row>
      <xdr:rowOff>171235</xdr:rowOff>
    </xdr:from>
    <xdr:to>
      <xdr:col>12</xdr:col>
      <xdr:colOff>316786</xdr:colOff>
      <xdr:row>31</xdr:row>
      <xdr:rowOff>77057</xdr:rowOff>
    </xdr:to>
    <xdr:sp macro="" textlink="">
      <xdr:nvSpPr>
        <xdr:cNvPr id="8" name="Rectangle: Rounded Corners 7">
          <a:extLst>
            <a:ext uri="{FF2B5EF4-FFF2-40B4-BE49-F238E27FC236}">
              <a16:creationId xmlns:a16="http://schemas.microsoft.com/office/drawing/2014/main" id="{5D4C5003-A309-4936-A719-662FDD53946B}"/>
            </a:ext>
          </a:extLst>
        </xdr:cNvPr>
        <xdr:cNvSpPr/>
      </xdr:nvSpPr>
      <xdr:spPr>
        <a:xfrm>
          <a:off x="1917842" y="2328808"/>
          <a:ext cx="5693596" cy="3321979"/>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70081</xdr:colOff>
      <xdr:row>32</xdr:row>
      <xdr:rowOff>94178</xdr:rowOff>
    </xdr:from>
    <xdr:to>
      <xdr:col>12</xdr:col>
      <xdr:colOff>215632</xdr:colOff>
      <xdr:row>48</xdr:row>
      <xdr:rowOff>25685</xdr:rowOff>
    </xdr:to>
    <xdr:sp macro="" textlink="">
      <xdr:nvSpPr>
        <xdr:cNvPr id="9" name="Rectangle: Rounded Corners 8">
          <a:extLst>
            <a:ext uri="{FF2B5EF4-FFF2-40B4-BE49-F238E27FC236}">
              <a16:creationId xmlns:a16="http://schemas.microsoft.com/office/drawing/2014/main" id="{A96DC22B-DD36-4764-8BC2-741B8CF6B53D}"/>
            </a:ext>
          </a:extLst>
        </xdr:cNvPr>
        <xdr:cNvSpPr/>
      </xdr:nvSpPr>
      <xdr:spPr>
        <a:xfrm>
          <a:off x="1898881" y="6016007"/>
          <a:ext cx="5631951" cy="2892421"/>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419521</xdr:colOff>
      <xdr:row>5</xdr:row>
      <xdr:rowOff>171235</xdr:rowOff>
    </xdr:from>
    <xdr:to>
      <xdr:col>19</xdr:col>
      <xdr:colOff>128420</xdr:colOff>
      <xdr:row>26</xdr:row>
      <xdr:rowOff>77056</xdr:rowOff>
    </xdr:to>
    <xdr:sp macro="" textlink="">
      <xdr:nvSpPr>
        <xdr:cNvPr id="10" name="Rectangle: Rounded Corners 9">
          <a:extLst>
            <a:ext uri="{FF2B5EF4-FFF2-40B4-BE49-F238E27FC236}">
              <a16:creationId xmlns:a16="http://schemas.microsoft.com/office/drawing/2014/main" id="{B96D8ED2-19B7-4A94-B98F-47FD2AFE4012}"/>
            </a:ext>
          </a:extLst>
        </xdr:cNvPr>
        <xdr:cNvSpPr/>
      </xdr:nvSpPr>
      <xdr:spPr>
        <a:xfrm>
          <a:off x="7714173" y="1070224"/>
          <a:ext cx="3964112" cy="3681574"/>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212330</xdr:colOff>
      <xdr:row>5</xdr:row>
      <xdr:rowOff>169521</xdr:rowOff>
    </xdr:from>
    <xdr:to>
      <xdr:col>25</xdr:col>
      <xdr:colOff>529116</xdr:colOff>
      <xdr:row>26</xdr:row>
      <xdr:rowOff>34247</xdr:rowOff>
    </xdr:to>
    <xdr:sp macro="" textlink="">
      <xdr:nvSpPr>
        <xdr:cNvPr id="12" name="Rectangle: Rounded Corners 11">
          <a:extLst>
            <a:ext uri="{FF2B5EF4-FFF2-40B4-BE49-F238E27FC236}">
              <a16:creationId xmlns:a16="http://schemas.microsoft.com/office/drawing/2014/main" id="{CC28CBE6-AE56-4F45-8821-C82D3998F228}"/>
            </a:ext>
          </a:extLst>
        </xdr:cNvPr>
        <xdr:cNvSpPr/>
      </xdr:nvSpPr>
      <xdr:spPr>
        <a:xfrm>
          <a:off x="11762195" y="1068510"/>
          <a:ext cx="3964112" cy="3640479"/>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385277</xdr:colOff>
      <xdr:row>27</xdr:row>
      <xdr:rowOff>162674</xdr:rowOff>
    </xdr:from>
    <xdr:to>
      <xdr:col>19</xdr:col>
      <xdr:colOff>94176</xdr:colOff>
      <xdr:row>48</xdr:row>
      <xdr:rowOff>68495</xdr:rowOff>
    </xdr:to>
    <xdr:sp macro="" textlink="">
      <xdr:nvSpPr>
        <xdr:cNvPr id="13" name="Rectangle: Rounded Corners 12">
          <a:extLst>
            <a:ext uri="{FF2B5EF4-FFF2-40B4-BE49-F238E27FC236}">
              <a16:creationId xmlns:a16="http://schemas.microsoft.com/office/drawing/2014/main" id="{018E8101-2DB6-497C-B03C-653770B9CC16}"/>
            </a:ext>
          </a:extLst>
        </xdr:cNvPr>
        <xdr:cNvSpPr/>
      </xdr:nvSpPr>
      <xdr:spPr>
        <a:xfrm>
          <a:off x="7679929" y="5017213"/>
          <a:ext cx="3964112" cy="3681574"/>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203774</xdr:colOff>
      <xdr:row>27</xdr:row>
      <xdr:rowOff>143836</xdr:rowOff>
    </xdr:from>
    <xdr:to>
      <xdr:col>25</xdr:col>
      <xdr:colOff>520560</xdr:colOff>
      <xdr:row>48</xdr:row>
      <xdr:rowOff>49657</xdr:rowOff>
    </xdr:to>
    <xdr:sp macro="" textlink="">
      <xdr:nvSpPr>
        <xdr:cNvPr id="14" name="Rectangle: Rounded Corners 13">
          <a:extLst>
            <a:ext uri="{FF2B5EF4-FFF2-40B4-BE49-F238E27FC236}">
              <a16:creationId xmlns:a16="http://schemas.microsoft.com/office/drawing/2014/main" id="{80AAF2C1-107A-459A-B630-49AF6867FE71}"/>
            </a:ext>
          </a:extLst>
        </xdr:cNvPr>
        <xdr:cNvSpPr/>
      </xdr:nvSpPr>
      <xdr:spPr>
        <a:xfrm>
          <a:off x="11753639" y="4998375"/>
          <a:ext cx="3964112" cy="3681574"/>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17124</xdr:colOff>
      <xdr:row>0</xdr:row>
      <xdr:rowOff>111302</xdr:rowOff>
    </xdr:from>
    <xdr:to>
      <xdr:col>4</xdr:col>
      <xdr:colOff>323636</xdr:colOff>
      <xdr:row>5</xdr:row>
      <xdr:rowOff>32534</xdr:rowOff>
    </xdr:to>
    <xdr:pic>
      <xdr:nvPicPr>
        <xdr:cNvPr id="16" name="Graphic 15" descr="Bar graph with upward trend with solid fill">
          <a:extLst>
            <a:ext uri="{FF2B5EF4-FFF2-40B4-BE49-F238E27FC236}">
              <a16:creationId xmlns:a16="http://schemas.microsoft.com/office/drawing/2014/main" id="{81F00F89-5D52-5321-4D73-7DE15FDA75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40787" y="111302"/>
          <a:ext cx="914400" cy="820221"/>
        </a:xfrm>
        <a:prstGeom prst="rect">
          <a:avLst/>
        </a:prstGeom>
      </xdr:spPr>
    </xdr:pic>
    <xdr:clientData/>
  </xdr:twoCellAnchor>
  <xdr:oneCellAnchor>
    <xdr:from>
      <xdr:col>4</xdr:col>
      <xdr:colOff>459963</xdr:colOff>
      <xdr:row>0</xdr:row>
      <xdr:rowOff>79137</xdr:rowOff>
    </xdr:from>
    <xdr:ext cx="9488846" cy="815736"/>
    <xdr:sp macro="" textlink="">
      <xdr:nvSpPr>
        <xdr:cNvPr id="17" name="Rectangle 16">
          <a:extLst>
            <a:ext uri="{FF2B5EF4-FFF2-40B4-BE49-F238E27FC236}">
              <a16:creationId xmlns:a16="http://schemas.microsoft.com/office/drawing/2014/main" id="{28272A8A-04D8-0514-812B-7BDB36293AD1}"/>
            </a:ext>
          </a:extLst>
        </xdr:cNvPr>
        <xdr:cNvSpPr/>
      </xdr:nvSpPr>
      <xdr:spPr>
        <a:xfrm>
          <a:off x="2891514" y="79137"/>
          <a:ext cx="9488846" cy="815736"/>
        </a:xfrm>
        <a:prstGeom prst="rect">
          <a:avLst/>
        </a:prstGeom>
        <a:noFill/>
      </xdr:spPr>
      <xdr:txBody>
        <a:bodyPr wrap="square" lIns="91440" tIns="45720" rIns="91440" bIns="45720">
          <a:spAutoFit/>
        </a:bodyPr>
        <a:lstStyle/>
        <a:p>
          <a:pPr algn="l"/>
          <a:r>
            <a:rPr lang="en-US" sz="4000" b="0" cap="none" spc="0">
              <a:ln w="0"/>
              <a:solidFill>
                <a:schemeClr val="accent3">
                  <a:lumMod val="20000"/>
                  <a:lumOff val="80000"/>
                </a:schemeClr>
              </a:solidFill>
              <a:effectLst>
                <a:outerShdw blurRad="38100" dist="19050" dir="2700000" algn="tl" rotWithShape="0">
                  <a:schemeClr val="dk1">
                    <a:alpha val="40000"/>
                  </a:schemeClr>
                </a:outerShdw>
              </a:effectLst>
              <a:latin typeface="Arial Black" panose="020B0A04020102020204" pitchFamily="34" charset="0"/>
            </a:rPr>
            <a:t>Sales &amp; Profit Dashboard</a:t>
          </a:r>
        </a:p>
      </xdr:txBody>
    </xdr:sp>
    <xdr:clientData/>
  </xdr:oneCellAnchor>
  <xdr:oneCellAnchor>
    <xdr:from>
      <xdr:col>4</xdr:col>
      <xdr:colOff>157916</xdr:colOff>
      <xdr:row>6</xdr:row>
      <xdr:rowOff>27768</xdr:rowOff>
    </xdr:from>
    <xdr:ext cx="1370953" cy="363626"/>
    <xdr:sp macro="" textlink="">
      <xdr:nvSpPr>
        <xdr:cNvPr id="18" name="Rectangle 17">
          <a:extLst>
            <a:ext uri="{FF2B5EF4-FFF2-40B4-BE49-F238E27FC236}">
              <a16:creationId xmlns:a16="http://schemas.microsoft.com/office/drawing/2014/main" id="{E73021A8-86F8-904C-36CC-E55AE6D4ADF1}"/>
            </a:ext>
          </a:extLst>
        </xdr:cNvPr>
        <xdr:cNvSpPr/>
      </xdr:nvSpPr>
      <xdr:spPr>
        <a:xfrm>
          <a:off x="2589467" y="1106555"/>
          <a:ext cx="1370953" cy="363626"/>
        </a:xfrm>
        <a:prstGeom prst="rect">
          <a:avLst/>
        </a:prstGeom>
        <a:noFill/>
      </xdr:spPr>
      <xdr:txBody>
        <a:bodyPr wrap="none" lIns="91440" tIns="45720" rIns="91440" bIns="45720">
          <a:spAutoFit/>
        </a:bodyPr>
        <a:lstStyle/>
        <a:p>
          <a:pPr algn="l"/>
          <a:r>
            <a:rPr lang="en-US" sz="15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Total Sales</a:t>
          </a:r>
        </a:p>
      </xdr:txBody>
    </xdr:sp>
    <xdr:clientData/>
  </xdr:oneCellAnchor>
  <xdr:oneCellAnchor>
    <xdr:from>
      <xdr:col>7</xdr:col>
      <xdr:colOff>494872</xdr:colOff>
      <xdr:row>6</xdr:row>
      <xdr:rowOff>41097</xdr:rowOff>
    </xdr:from>
    <xdr:ext cx="1370760" cy="363626"/>
    <xdr:sp macro="" textlink="">
      <xdr:nvSpPr>
        <xdr:cNvPr id="19" name="Rectangle 18">
          <a:extLst>
            <a:ext uri="{FF2B5EF4-FFF2-40B4-BE49-F238E27FC236}">
              <a16:creationId xmlns:a16="http://schemas.microsoft.com/office/drawing/2014/main" id="{A953A38A-9B3D-403C-AF35-506DDCD389EB}"/>
            </a:ext>
          </a:extLst>
        </xdr:cNvPr>
        <xdr:cNvSpPr/>
      </xdr:nvSpPr>
      <xdr:spPr>
        <a:xfrm>
          <a:off x="4750085" y="1119884"/>
          <a:ext cx="1370760" cy="363626"/>
        </a:xfrm>
        <a:prstGeom prst="rect">
          <a:avLst/>
        </a:prstGeom>
        <a:noFill/>
      </xdr:spPr>
      <xdr:txBody>
        <a:bodyPr wrap="none" lIns="91440" tIns="45720" rIns="91440" bIns="45720">
          <a:spAutoFit/>
        </a:bodyPr>
        <a:lstStyle/>
        <a:p>
          <a:pPr algn="l"/>
          <a:r>
            <a:rPr lang="en-US" sz="15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Total Profit</a:t>
          </a:r>
        </a:p>
      </xdr:txBody>
    </xdr:sp>
    <xdr:clientData/>
  </xdr:oneCellAnchor>
  <xdr:twoCellAnchor editAs="oneCell">
    <xdr:from>
      <xdr:col>6</xdr:col>
      <xdr:colOff>539393</xdr:colOff>
      <xdr:row>7</xdr:row>
      <xdr:rowOff>42810</xdr:rowOff>
    </xdr:from>
    <xdr:to>
      <xdr:col>8</xdr:col>
      <xdr:colOff>77056</xdr:colOff>
      <xdr:row>11</xdr:row>
      <xdr:rowOff>32535</xdr:rowOff>
    </xdr:to>
    <xdr:pic>
      <xdr:nvPicPr>
        <xdr:cNvPr id="21" name="Graphic 20" descr="Pie chart with solid fill">
          <a:extLst>
            <a:ext uri="{FF2B5EF4-FFF2-40B4-BE49-F238E27FC236}">
              <a16:creationId xmlns:a16="http://schemas.microsoft.com/office/drawing/2014/main" id="{FE82F419-AB65-6AA6-1E09-C3DB99320F4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86719" y="1301394"/>
          <a:ext cx="753438" cy="708916"/>
        </a:xfrm>
        <a:prstGeom prst="rect">
          <a:avLst/>
        </a:prstGeom>
      </xdr:spPr>
    </xdr:pic>
    <xdr:clientData/>
  </xdr:twoCellAnchor>
  <xdr:twoCellAnchor editAs="oneCell">
    <xdr:from>
      <xdr:col>3</xdr:col>
      <xdr:colOff>248292</xdr:colOff>
      <xdr:row>7</xdr:row>
      <xdr:rowOff>51371</xdr:rowOff>
    </xdr:from>
    <xdr:to>
      <xdr:col>4</xdr:col>
      <xdr:colOff>265415</xdr:colOff>
      <xdr:row>10</xdr:row>
      <xdr:rowOff>178085</xdr:rowOff>
    </xdr:to>
    <xdr:pic>
      <xdr:nvPicPr>
        <xdr:cNvPr id="23" name="Graphic 22" descr="Money with solid fill">
          <a:extLst>
            <a:ext uri="{FF2B5EF4-FFF2-40B4-BE49-F238E27FC236}">
              <a16:creationId xmlns:a16="http://schemas.microsoft.com/office/drawing/2014/main" id="{E5717250-0883-55F4-464F-86FC9651B64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71955" y="1309955"/>
          <a:ext cx="625011" cy="666108"/>
        </a:xfrm>
        <a:prstGeom prst="rect">
          <a:avLst/>
        </a:prstGeom>
      </xdr:spPr>
    </xdr:pic>
    <xdr:clientData/>
  </xdr:twoCellAnchor>
  <xdr:oneCellAnchor>
    <xdr:from>
      <xdr:col>4</xdr:col>
      <xdr:colOff>179795</xdr:colOff>
      <xdr:row>8</xdr:row>
      <xdr:rowOff>34247</xdr:rowOff>
    </xdr:from>
    <xdr:ext cx="236860" cy="417807"/>
    <xdr:sp macro="" textlink="'Pivot Table'!H7">
      <xdr:nvSpPr>
        <xdr:cNvPr id="28" name="Rectangle 27">
          <a:extLst>
            <a:ext uri="{FF2B5EF4-FFF2-40B4-BE49-F238E27FC236}">
              <a16:creationId xmlns:a16="http://schemas.microsoft.com/office/drawing/2014/main" id="{FEA61B27-B56E-4FE1-A5B9-CD63D435AD16}"/>
            </a:ext>
          </a:extLst>
        </xdr:cNvPr>
        <xdr:cNvSpPr/>
      </xdr:nvSpPr>
      <xdr:spPr>
        <a:xfrm>
          <a:off x="2618195" y="1524380"/>
          <a:ext cx="236860" cy="417807"/>
        </a:xfrm>
        <a:prstGeom prst="rect">
          <a:avLst/>
        </a:prstGeom>
        <a:noFill/>
      </xdr:spPr>
      <xdr:txBody>
        <a:bodyPr wrap="none" lIns="91440" tIns="45720" rIns="91440" bIns="45720">
          <a:spAutoFit/>
        </a:bodyPr>
        <a:lstStyle/>
        <a:p>
          <a:pPr algn="l"/>
          <a:fld id="{91DCB32A-D878-45C9-BCD2-24D40999D050}"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l"/>
            <a:t> </a:t>
          </a:fld>
          <a:endParaRPr lang="en-US" sz="18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twoCellAnchor>
    <xdr:from>
      <xdr:col>3</xdr:col>
      <xdr:colOff>267739</xdr:colOff>
      <xdr:row>14</xdr:row>
      <xdr:rowOff>73265</xdr:rowOff>
    </xdr:from>
    <xdr:to>
      <xdr:col>12</xdr:col>
      <xdr:colOff>276300</xdr:colOff>
      <xdr:row>31</xdr:row>
      <xdr:rowOff>30455</xdr:rowOff>
    </xdr:to>
    <xdr:graphicFrame macro="">
      <xdr:nvGraphicFramePr>
        <xdr:cNvPr id="31" name="Chart 30">
          <a:extLst>
            <a:ext uri="{FF2B5EF4-FFF2-40B4-BE49-F238E27FC236}">
              <a16:creationId xmlns:a16="http://schemas.microsoft.com/office/drawing/2014/main" id="{F6585497-05FF-4BAF-B41C-18DFACC45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529601</xdr:colOff>
      <xdr:row>6</xdr:row>
      <xdr:rowOff>32657</xdr:rowOff>
    </xdr:from>
    <xdr:to>
      <xdr:col>19</xdr:col>
      <xdr:colOff>152399</xdr:colOff>
      <xdr:row>26</xdr:row>
      <xdr:rowOff>76201</xdr:rowOff>
    </xdr:to>
    <xdr:graphicFrame macro="">
      <xdr:nvGraphicFramePr>
        <xdr:cNvPr id="32" name="Chart 31">
          <a:extLst>
            <a:ext uri="{FF2B5EF4-FFF2-40B4-BE49-F238E27FC236}">
              <a16:creationId xmlns:a16="http://schemas.microsoft.com/office/drawing/2014/main" id="{15A919D9-4A9B-4D3D-9EEE-54849A8ED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310424</xdr:colOff>
      <xdr:row>5</xdr:row>
      <xdr:rowOff>132337</xdr:rowOff>
    </xdr:from>
    <xdr:to>
      <xdr:col>25</xdr:col>
      <xdr:colOff>478972</xdr:colOff>
      <xdr:row>25</xdr:row>
      <xdr:rowOff>54428</xdr:rowOff>
    </xdr:to>
    <xdr:graphicFrame macro="">
      <xdr:nvGraphicFramePr>
        <xdr:cNvPr id="33" name="Chart 32">
          <a:extLst>
            <a:ext uri="{FF2B5EF4-FFF2-40B4-BE49-F238E27FC236}">
              <a16:creationId xmlns:a16="http://schemas.microsoft.com/office/drawing/2014/main" id="{B96DBB65-53DF-45C5-A6E6-0D9A5EF4D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378067</xdr:colOff>
      <xdr:row>27</xdr:row>
      <xdr:rowOff>174170</xdr:rowOff>
    </xdr:from>
    <xdr:to>
      <xdr:col>25</xdr:col>
      <xdr:colOff>555171</xdr:colOff>
      <xdr:row>48</xdr:row>
      <xdr:rowOff>54427</xdr:rowOff>
    </xdr:to>
    <xdr:graphicFrame macro="">
      <xdr:nvGraphicFramePr>
        <xdr:cNvPr id="34" name="Chart 33">
          <a:extLst>
            <a:ext uri="{FF2B5EF4-FFF2-40B4-BE49-F238E27FC236}">
              <a16:creationId xmlns:a16="http://schemas.microsoft.com/office/drawing/2014/main" id="{219FB048-64B9-4865-84FA-77725E469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200709</xdr:colOff>
      <xdr:row>32</xdr:row>
      <xdr:rowOff>130628</xdr:rowOff>
    </xdr:from>
    <xdr:to>
      <xdr:col>11</xdr:col>
      <xdr:colOff>587828</xdr:colOff>
      <xdr:row>49</xdr:row>
      <xdr:rowOff>83293</xdr:rowOff>
    </xdr:to>
    <xdr:graphicFrame macro="">
      <xdr:nvGraphicFramePr>
        <xdr:cNvPr id="36" name="Chart 35">
          <a:extLst>
            <a:ext uri="{FF2B5EF4-FFF2-40B4-BE49-F238E27FC236}">
              <a16:creationId xmlns:a16="http://schemas.microsoft.com/office/drawing/2014/main" id="{814FB564-894F-4C01-B998-F9C1974D3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70814</xdr:colOff>
      <xdr:row>27</xdr:row>
      <xdr:rowOff>173069</xdr:rowOff>
    </xdr:from>
    <xdr:to>
      <xdr:col>19</xdr:col>
      <xdr:colOff>375614</xdr:colOff>
      <xdr:row>48</xdr:row>
      <xdr:rowOff>54428</xdr:rowOff>
    </xdr:to>
    <xdr:graphicFrame macro="">
      <xdr:nvGraphicFramePr>
        <xdr:cNvPr id="37" name="Chart 36">
          <a:extLst>
            <a:ext uri="{FF2B5EF4-FFF2-40B4-BE49-F238E27FC236}">
              <a16:creationId xmlns:a16="http://schemas.microsoft.com/office/drawing/2014/main" id="{CDD83A93-C872-4132-9E42-FAE5912F8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6</xdr:col>
      <xdr:colOff>372070</xdr:colOff>
      <xdr:row>12</xdr:row>
      <xdr:rowOff>162551</xdr:rowOff>
    </xdr:from>
    <xdr:ext cx="184731" cy="363626"/>
    <xdr:sp macro="" textlink="">
      <xdr:nvSpPr>
        <xdr:cNvPr id="38" name="Rectangle 37">
          <a:extLst>
            <a:ext uri="{FF2B5EF4-FFF2-40B4-BE49-F238E27FC236}">
              <a16:creationId xmlns:a16="http://schemas.microsoft.com/office/drawing/2014/main" id="{1D7E5F8C-89A4-4194-925F-31EBCE2947E6}"/>
            </a:ext>
          </a:extLst>
        </xdr:cNvPr>
        <xdr:cNvSpPr/>
      </xdr:nvSpPr>
      <xdr:spPr>
        <a:xfrm>
          <a:off x="4029670" y="2383237"/>
          <a:ext cx="184731" cy="363626"/>
        </a:xfrm>
        <a:prstGeom prst="rect">
          <a:avLst/>
        </a:prstGeom>
        <a:noFill/>
      </xdr:spPr>
      <xdr:txBody>
        <a:bodyPr wrap="none" lIns="91440" tIns="45720" rIns="91440" bIns="45720">
          <a:spAutoFit/>
        </a:bodyPr>
        <a:lstStyle/>
        <a:p>
          <a:pPr algn="l"/>
          <a:endParaRPr lang="en-US" sz="15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twoCellAnchor editAs="oneCell">
    <xdr:from>
      <xdr:col>0</xdr:col>
      <xdr:colOff>204720</xdr:colOff>
      <xdr:row>6</xdr:row>
      <xdr:rowOff>87420</xdr:rowOff>
    </xdr:from>
    <xdr:to>
      <xdr:col>2</xdr:col>
      <xdr:colOff>508000</xdr:colOff>
      <xdr:row>17</xdr:row>
      <xdr:rowOff>25396</xdr:rowOff>
    </xdr:to>
    <mc:AlternateContent xmlns:mc="http://schemas.openxmlformats.org/markup-compatibility/2006" xmlns:a14="http://schemas.microsoft.com/office/drawing/2010/main">
      <mc:Choice Requires="a14">
        <xdr:graphicFrame macro="">
          <xdr:nvGraphicFramePr>
            <xdr:cNvPr id="39" name="Years (Date)">
              <a:extLst>
                <a:ext uri="{FF2B5EF4-FFF2-40B4-BE49-F238E27FC236}">
                  <a16:creationId xmlns:a16="http://schemas.microsoft.com/office/drawing/2014/main" id="{DC16872E-1657-4846-B482-8C20F1706D7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204720" y="1205020"/>
              <a:ext cx="1522480" cy="1986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586673</xdr:colOff>
      <xdr:row>7</xdr:row>
      <xdr:rowOff>162674</xdr:rowOff>
    </xdr:from>
    <xdr:ext cx="1400576" cy="453970"/>
    <xdr:sp macro="" textlink="'Pivot Table'!J6">
      <xdr:nvSpPr>
        <xdr:cNvPr id="40" name="Rectangle 39">
          <a:extLst>
            <a:ext uri="{FF2B5EF4-FFF2-40B4-BE49-F238E27FC236}">
              <a16:creationId xmlns:a16="http://schemas.microsoft.com/office/drawing/2014/main" id="{4CA45289-0E0D-4BF8-A2DC-02BE9327749B}"/>
            </a:ext>
          </a:extLst>
        </xdr:cNvPr>
        <xdr:cNvSpPr/>
      </xdr:nvSpPr>
      <xdr:spPr>
        <a:xfrm>
          <a:off x="4853873" y="1466541"/>
          <a:ext cx="1400576" cy="453970"/>
        </a:xfrm>
        <a:prstGeom prst="rect">
          <a:avLst/>
        </a:prstGeom>
        <a:noFill/>
      </xdr:spPr>
      <xdr:txBody>
        <a:bodyPr wrap="none" lIns="91440" tIns="45720" rIns="91440" bIns="45720">
          <a:spAutoFit/>
        </a:bodyPr>
        <a:lstStyle/>
        <a:p>
          <a:pPr algn="l"/>
          <a:fld id="{08B07742-808C-490B-AF31-7E28EE293610}"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l"/>
            <a:t> ₹ 4,37,380 </a:t>
          </a:fld>
          <a:endParaRPr lang="en-US" sz="20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oneCellAnchor>
    <xdr:from>
      <xdr:col>4</xdr:col>
      <xdr:colOff>132706</xdr:colOff>
      <xdr:row>7</xdr:row>
      <xdr:rowOff>173043</xdr:rowOff>
    </xdr:from>
    <xdr:ext cx="1530547" cy="453970"/>
    <xdr:sp macro="" textlink="'Pivot Table'!H6">
      <xdr:nvSpPr>
        <xdr:cNvPr id="41" name="Rectangle 40">
          <a:extLst>
            <a:ext uri="{FF2B5EF4-FFF2-40B4-BE49-F238E27FC236}">
              <a16:creationId xmlns:a16="http://schemas.microsoft.com/office/drawing/2014/main" id="{A2B0B438-028D-4BFA-AF20-BDB4026E9C92}"/>
            </a:ext>
          </a:extLst>
        </xdr:cNvPr>
        <xdr:cNvSpPr/>
      </xdr:nvSpPr>
      <xdr:spPr>
        <a:xfrm>
          <a:off x="2571106" y="1476910"/>
          <a:ext cx="1530547" cy="453970"/>
        </a:xfrm>
        <a:prstGeom prst="rect">
          <a:avLst/>
        </a:prstGeom>
        <a:noFill/>
      </xdr:spPr>
      <xdr:txBody>
        <a:bodyPr wrap="none" lIns="91440" tIns="45720" rIns="91440" bIns="45720">
          <a:spAutoFit/>
        </a:bodyPr>
        <a:lstStyle/>
        <a:p>
          <a:pPr algn="l"/>
          <a:fld id="{8E5E3936-7EBA-40D9-BAD3-A7B35B9C8355}"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l"/>
            <a:t> ₹ 19,08,866 </a:t>
          </a:fld>
          <a:endParaRPr lang="en-US" sz="20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twoCellAnchor editAs="oneCell">
    <xdr:from>
      <xdr:col>0</xdr:col>
      <xdr:colOff>186267</xdr:colOff>
      <xdr:row>17</xdr:row>
      <xdr:rowOff>129749</xdr:rowOff>
    </xdr:from>
    <xdr:to>
      <xdr:col>2</xdr:col>
      <xdr:colOff>508000</xdr:colOff>
      <xdr:row>29</xdr:row>
      <xdr:rowOff>110059</xdr:rowOff>
    </xdr:to>
    <mc:AlternateContent xmlns:mc="http://schemas.openxmlformats.org/markup-compatibility/2006" xmlns:a14="http://schemas.microsoft.com/office/drawing/2010/main">
      <mc:Choice Requires="a14">
        <xdr:graphicFrame macro="">
          <xdr:nvGraphicFramePr>
            <xdr:cNvPr id="42" name="Region">
              <a:extLst>
                <a:ext uri="{FF2B5EF4-FFF2-40B4-BE49-F238E27FC236}">
                  <a16:creationId xmlns:a16="http://schemas.microsoft.com/office/drawing/2014/main" id="{10D43FDC-E7BD-41BE-B946-9D0C591756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6267" y="3296282"/>
              <a:ext cx="1540933" cy="2215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179319</xdr:colOff>
      <xdr:row>30</xdr:row>
      <xdr:rowOff>11213</xdr:rowOff>
    </xdr:from>
    <xdr:to>
      <xdr:col>2</xdr:col>
      <xdr:colOff>499532</xdr:colOff>
      <xdr:row>39</xdr:row>
      <xdr:rowOff>33856</xdr:rowOff>
    </xdr:to>
    <mc:AlternateContent xmlns:mc="http://schemas.openxmlformats.org/markup-compatibility/2006" xmlns:a14="http://schemas.microsoft.com/office/drawing/2010/main">
      <mc:Choice Requires="a14">
        <xdr:graphicFrame macro="">
          <xdr:nvGraphicFramePr>
            <xdr:cNvPr id="43" name="Product">
              <a:extLst>
                <a:ext uri="{FF2B5EF4-FFF2-40B4-BE49-F238E27FC236}">
                  <a16:creationId xmlns:a16="http://schemas.microsoft.com/office/drawing/2014/main" id="{8030248A-4D96-49F8-AED9-ABE01B0C57F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9319" y="5599213"/>
              <a:ext cx="1539413" cy="1699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187787</xdr:colOff>
      <xdr:row>39</xdr:row>
      <xdr:rowOff>129759</xdr:rowOff>
    </xdr:from>
    <xdr:to>
      <xdr:col>2</xdr:col>
      <xdr:colOff>508000</xdr:colOff>
      <xdr:row>47</xdr:row>
      <xdr:rowOff>76202</xdr:rowOff>
    </xdr:to>
    <mc:AlternateContent xmlns:mc="http://schemas.openxmlformats.org/markup-compatibility/2006" xmlns:a14="http://schemas.microsoft.com/office/drawing/2010/main">
      <mc:Choice Requires="a14">
        <xdr:graphicFrame macro="">
          <xdr:nvGraphicFramePr>
            <xdr:cNvPr id="44" name="Payment Mode">
              <a:extLst>
                <a:ext uri="{FF2B5EF4-FFF2-40B4-BE49-F238E27FC236}">
                  <a16:creationId xmlns:a16="http://schemas.microsoft.com/office/drawing/2014/main" id="{D0FD8484-DF5A-481D-84A5-C0E10678E917}"/>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87787" y="7394159"/>
              <a:ext cx="1539413" cy="1436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84667</xdr:colOff>
      <xdr:row>0</xdr:row>
      <xdr:rowOff>33866</xdr:rowOff>
    </xdr:from>
    <xdr:to>
      <xdr:col>2</xdr:col>
      <xdr:colOff>474133</xdr:colOff>
      <xdr:row>5</xdr:row>
      <xdr:rowOff>71966</xdr:rowOff>
    </xdr:to>
    <xdr:pic>
      <xdr:nvPicPr>
        <xdr:cNvPr id="46" name="Picture 45">
          <a:extLst>
            <a:ext uri="{FF2B5EF4-FFF2-40B4-BE49-F238E27FC236}">
              <a16:creationId xmlns:a16="http://schemas.microsoft.com/office/drawing/2014/main" id="{54DD7B31-82C3-CC64-46A4-836545343CE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4667" y="33866"/>
          <a:ext cx="1608666" cy="9694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2.681791087962" createdVersion="8" refreshedVersion="8" minRefreshableVersion="3" recordCount="1000" xr:uid="{763DE0D7-845C-4CA0-B84E-26A6514AA672}">
  <cacheSource type="worksheet">
    <worksheetSource ref="A1:O1001" sheet="Sales Data"/>
  </cacheSource>
  <cacheFields count="18">
    <cacheField name="Order ID" numFmtId="0">
      <sharedItems/>
    </cacheField>
    <cacheField name="Date" numFmtId="164">
      <sharedItems containsSemiMixedTypes="0" containsNonDate="0" containsDate="1" containsString="0" minDate="2024-01-02T00:00:00" maxDate="2026-09-28T00:00:00" count="1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sharedItems>
      <fieldGroup par="17"/>
    </cacheField>
    <cacheField name="Customer Name" numFmtId="0">
      <sharedItems/>
    </cacheField>
    <cacheField name="Region" numFmtId="0">
      <sharedItems count="6">
        <s v="North"/>
        <s v="East"/>
        <s v="South"/>
        <s v="Northeast"/>
        <s v="West"/>
        <s v="North "/>
      </sharedItems>
    </cacheField>
    <cacheField name="State" numFmtId="0">
      <sharedItems count="16">
        <s v="Uttar Pradesh"/>
        <s v="Madhya Pradesh"/>
        <s v="Bihar"/>
        <s v="Tamil Nadu"/>
        <s v="Assam"/>
        <s v="Maharashtra"/>
        <s v="West Bengal"/>
        <s v="Jharkhand"/>
        <s v="Gujarat"/>
        <s v="Haryana"/>
        <s v="Rajasthan"/>
        <s v="Kerala"/>
        <s v="Punjab"/>
        <s v="Karnataka"/>
        <s v="Odisha"/>
        <s v="Chhattisgarh"/>
      </sharedItems>
    </cacheField>
    <cacheField name="City" numFmtId="0">
      <sharedItems count="80">
        <s v="Lucknow"/>
        <s v="Indore"/>
        <s v="Gaya"/>
        <s v="Prayagraj"/>
        <s v="Tiruchirappalli"/>
        <s v="Guwahati"/>
        <s v="Mumbai"/>
        <s v="Howrah"/>
        <s v="Aurangabad"/>
        <s v="Asansol"/>
        <s v="Dibrugarh"/>
        <s v="Hazaribagh"/>
        <s v="Bhopal"/>
        <s v="Rajkot"/>
        <s v="Panipat"/>
        <s v="Udaipur"/>
        <s v="Gurugram"/>
        <s v="Salem"/>
        <s v="Varanasi"/>
        <s v="Kollam"/>
        <s v="Agra"/>
        <s v="Bathinda"/>
        <s v="Kolkata"/>
        <s v="Mysuru"/>
        <s v="Ludhiana"/>
        <s v="Patna"/>
        <s v="Rourkela"/>
        <s v="Dhanbad"/>
        <s v="Vadodara"/>
        <s v="Kochi"/>
        <s v="Bhavnagar"/>
        <s v="Bokaro"/>
        <s v="Ujjain"/>
        <s v="Bhagalpur"/>
        <s v="Mangaluru"/>
        <s v="Coimbatore"/>
        <s v="Faridabad"/>
        <s v="Bilaspur"/>
        <s v="Jamshedpur"/>
        <s v="Darbhanga"/>
        <s v="Tezpur"/>
        <s v="Raipur"/>
        <s v="Bengaluru"/>
        <s v="Sambalpur"/>
        <s v="Gwalior"/>
        <s v="Ranchi"/>
        <s v="Ambala"/>
        <s v="Kozhikode"/>
        <s v="Chennai"/>
        <s v="Korba"/>
        <s v="Durgapur"/>
        <s v="Madurai"/>
        <s v="Bhilai"/>
        <s v="Bikaner"/>
        <s v="Thrissur"/>
        <s v="Jorhat"/>
        <s v="Hubballi"/>
        <s v="Jabalpur"/>
        <s v="Bhubaneswar"/>
        <s v="Nashik"/>
        <s v="Patiala"/>
        <s v="Ahmedabad"/>
        <s v="Belagavi"/>
        <s v="Cuttack"/>
        <s v="Thiruvananthapuram"/>
        <s v="Amritsar"/>
        <s v="Jodhpur"/>
        <s v="Durg"/>
        <s v="Silchar"/>
        <s v="Kota"/>
        <s v="Jaipur"/>
        <s v="Jalandhar"/>
        <s v="Surat"/>
        <s v="Siliguri"/>
        <s v="Karnal"/>
        <s v="Nagpur"/>
        <s v="Puri"/>
        <s v="Muzaffarpur"/>
        <s v="Kanpur"/>
        <s v="Pune"/>
      </sharedItems>
    </cacheField>
    <cacheField name="Product Category" numFmtId="0">
      <sharedItems count="1">
        <s v="Electronics"/>
      </sharedItems>
    </cacheField>
    <cacheField name="Product" numFmtId="0">
      <sharedItems count="4">
        <s v="Tablet"/>
        <s v="Accessories"/>
        <s v="Laptop"/>
        <s v="Mobile"/>
      </sharedItems>
    </cacheField>
    <cacheField name="Quantity" numFmtId="0">
      <sharedItems containsSemiMixedTypes="0" containsString="0" containsNumber="1" containsInteger="1" minValue="1" maxValue="10" count="10">
        <n v="4"/>
        <n v="8"/>
        <n v="3"/>
        <n v="10"/>
        <n v="7"/>
        <n v="1"/>
        <n v="9"/>
        <n v="6"/>
        <n v="5"/>
        <n v="2"/>
      </sharedItems>
    </cacheField>
    <cacheField name="Unit Cost" numFmtId="44">
      <sharedItems containsSemiMixedTypes="0" containsString="0" containsNumber="1" minValue="20.149999999999999" maxValue="499.37"/>
    </cacheField>
    <cacheField name="Total Cost " numFmtId="44">
      <sharedItems containsSemiMixedTypes="0" containsString="0" containsNumber="1" minValue="26.18" maxValue="4965.6000000000004"/>
    </cacheField>
    <cacheField name="Sales Amount" numFmtId="44">
      <sharedItems containsSemiMixedTypes="0" containsString="0" containsNumber="1" minValue="33.07" maxValue="7010.34" count="999">
        <n v="757.87"/>
        <n v="3439.63"/>
        <n v="1577.15"/>
        <n v="3634.92"/>
        <n v="4155.22"/>
        <n v="4274.21"/>
        <n v="5125.5600000000004"/>
        <n v="481.05"/>
        <n v="941.24"/>
        <n v="2161.96"/>
        <n v="2301.16"/>
        <n v="1471.92"/>
        <n v="1645.82"/>
        <n v="2253.39"/>
        <n v="826.61"/>
        <n v="2272.2399999999998"/>
        <n v="550.20000000000005"/>
        <n v="227.29"/>
        <n v="689.97"/>
        <n v="5329.71"/>
        <n v="59.35"/>
        <n v="3615.63"/>
        <n v="4367.18"/>
        <n v="1392.71"/>
        <n v="2487.1"/>
        <n v="1101.1500000000001"/>
        <n v="2079.87"/>
        <n v="906.13"/>
        <n v="4240.0600000000004"/>
        <n v="6986.19"/>
        <n v="844.11"/>
        <n v="5386.5"/>
        <n v="4287.99"/>
        <n v="514.67999999999995"/>
        <n v="1228.03"/>
        <n v="39.5"/>
        <n v="1768.37"/>
        <n v="2439.64"/>
        <n v="1382.04"/>
        <n v="1472.57"/>
        <n v="141.51"/>
        <n v="2775.36"/>
        <n v="2305.71"/>
        <n v="1081.93"/>
        <n v="1434.35"/>
        <n v="359.64"/>
        <n v="2255.65"/>
        <n v="419.87"/>
        <n v="282.77"/>
        <n v="2540.4"/>
        <n v="5529.18"/>
        <n v="3189.98"/>
        <n v="334.56"/>
        <n v="402.72"/>
        <n v="116.41"/>
        <n v="1009.04"/>
        <n v="3143.83"/>
        <n v="1450.87"/>
        <n v="177.55"/>
        <n v="3932.21"/>
        <n v="1854.79"/>
        <n v="623.42999999999995"/>
        <n v="1634.43"/>
        <n v="6136.46"/>
        <n v="1812.46"/>
        <n v="1961.91"/>
        <n v="3437.24"/>
        <n v="1598.49"/>
        <n v="3318.42"/>
        <n v="2906.5"/>
        <n v="1100.19"/>
        <n v="292.86"/>
        <n v="2166.8200000000002"/>
        <n v="3511.05"/>
        <n v="2900.43"/>
        <n v="656.48"/>
        <n v="459.91"/>
        <n v="336.26"/>
        <n v="1179.57"/>
        <n v="787.43"/>
        <n v="3688.27"/>
        <n v="345.76"/>
        <n v="2606.4699999999998"/>
        <n v="267.95999999999998"/>
        <n v="3758.17"/>
        <n v="985.55"/>
        <n v="1425.31"/>
        <n v="1070.32"/>
        <n v="3479.66"/>
        <n v="450.4"/>
        <n v="2993.32"/>
        <n v="2056.67"/>
        <n v="724.78"/>
        <n v="589.5"/>
        <n v="373.79"/>
        <n v="2064.25"/>
        <n v="5258.94"/>
        <n v="491.52"/>
        <n v="3209.66"/>
        <n v="3851.7"/>
        <n v="3334.86"/>
        <n v="631.34"/>
        <n v="100.02"/>
        <n v="2928.67"/>
        <n v="1760.97"/>
        <n v="1496.28"/>
        <n v="1320.04"/>
        <n v="3588.56"/>
        <n v="4706.6400000000003"/>
        <n v="1110.07"/>
        <n v="1565.82"/>
        <n v="1813.19"/>
        <n v="608.53"/>
        <n v="2030.15"/>
        <n v="5125.41"/>
        <n v="4134.32"/>
        <n v="751.93"/>
        <n v="302.08999999999997"/>
        <n v="834.67"/>
        <n v="1593.33"/>
        <n v="2261.83"/>
        <n v="487.52"/>
        <n v="267.31"/>
        <n v="1879.45"/>
        <n v="548.35"/>
        <n v="216.16"/>
        <n v="787.35"/>
        <n v="243.27"/>
        <n v="3721.82"/>
        <n v="2481.9"/>
        <n v="478.39"/>
        <n v="604.12"/>
        <n v="485.01"/>
        <n v="3433.41"/>
        <n v="750.85"/>
        <n v="791.61"/>
        <n v="5512.34"/>
        <n v="2651"/>
        <n v="2128.35"/>
        <n v="6138.91"/>
        <n v="6098.17"/>
        <n v="3111.47"/>
        <n v="2067.46"/>
        <n v="1100.2"/>
        <n v="468.46"/>
        <n v="252.12"/>
        <n v="4188.57"/>
        <n v="3225.64"/>
        <n v="2561.4699999999998"/>
        <n v="613.69000000000005"/>
        <n v="1473.2"/>
        <n v="1202.48"/>
        <n v="2258.23"/>
        <n v="2635.58"/>
        <n v="5741.5"/>
        <n v="278.25"/>
        <n v="125.05"/>
        <n v="1469.95"/>
        <n v="1798.76"/>
        <n v="1400.66"/>
        <n v="6356.14"/>
        <n v="3333.57"/>
        <n v="2652.26"/>
        <n v="4796.2700000000004"/>
        <n v="540.17999999999995"/>
        <n v="3218.86"/>
        <n v="1214.04"/>
        <n v="482.64"/>
        <n v="3609.87"/>
        <n v="864.83"/>
        <n v="3611.75"/>
        <n v="1882.79"/>
        <n v="646.01"/>
        <n v="257.93"/>
        <n v="2287.27"/>
        <n v="2719.3"/>
        <n v="375.73"/>
        <n v="229.66"/>
        <n v="2959.98"/>
        <n v="362.19"/>
        <n v="1737.78"/>
        <n v="787.08"/>
        <n v="3607.68"/>
        <n v="1343.45"/>
        <n v="1656"/>
        <n v="1152.51"/>
        <n v="2289.23"/>
        <n v="2352.86"/>
        <n v="1482.39"/>
        <n v="610.22"/>
        <n v="384.63"/>
        <n v="1520.42"/>
        <n v="930.37"/>
        <n v="2320.48"/>
        <n v="1169.25"/>
        <n v="268.66000000000003"/>
        <n v="4112.18"/>
        <n v="413.32"/>
        <n v="6529.45"/>
        <n v="251.13"/>
        <n v="566.35"/>
        <n v="109.46"/>
        <n v="993.03"/>
        <n v="776.73"/>
        <n v="375.02"/>
        <n v="2667.87"/>
        <n v="926.76"/>
        <n v="458.5"/>
        <n v="3204.7"/>
        <n v="3510.03"/>
        <n v="192.97"/>
        <n v="5287.06"/>
        <n v="3502.71"/>
        <n v="4454.47"/>
        <n v="3817.09"/>
        <n v="1736.1"/>
        <n v="2996.79"/>
        <n v="2843.15"/>
        <n v="2363.3000000000002"/>
        <n v="3809.29"/>
        <n v="1656.66"/>
        <n v="3400.91"/>
        <n v="182.59"/>
        <n v="3446.68"/>
        <n v="880.28"/>
        <n v="434.09"/>
        <n v="2410.84"/>
        <n v="2401.94"/>
        <n v="572.28"/>
        <n v="1216.96"/>
        <n v="2828.46"/>
        <n v="814.21"/>
        <n v="2699"/>
        <n v="2235.54"/>
        <n v="683.56"/>
        <n v="1241.0999999999999"/>
        <n v="766.94"/>
        <n v="1193.96"/>
        <n v="4111.9399999999996"/>
        <n v="2560.31"/>
        <n v="1427.4"/>
        <n v="5798.39"/>
        <n v="372.12"/>
        <n v="591.75"/>
        <n v="2274.91"/>
        <n v="869.76"/>
        <n v="400.27"/>
        <n v="788.3"/>
        <n v="2379.87"/>
        <n v="367.83"/>
        <n v="320.2"/>
        <n v="4349.1000000000004"/>
        <n v="63.02"/>
        <n v="2508.34"/>
        <n v="1135.1099999999999"/>
        <n v="3228.07"/>
        <n v="4132.75"/>
        <n v="119.51"/>
        <n v="622"/>
        <n v="1175.47"/>
        <n v="1057.3599999999999"/>
        <n v="3391.51"/>
        <n v="1414.39"/>
        <n v="3559.14"/>
        <n v="84.2"/>
        <n v="1210.5899999999999"/>
        <n v="1993.17"/>
        <n v="2512.2600000000002"/>
        <n v="2304.7600000000002"/>
        <n v="2224.86"/>
        <n v="809.42"/>
        <n v="1574.78"/>
        <n v="5854.32"/>
        <n v="389.93"/>
        <n v="1346.7"/>
        <n v="4765.32"/>
        <n v="414.53"/>
        <n v="1740.93"/>
        <n v="487.82"/>
        <n v="1654.83"/>
        <n v="3040.69"/>
        <n v="4583.66"/>
        <n v="2630.96"/>
        <n v="375.43"/>
        <n v="1171.1199999999999"/>
        <n v="1371.98"/>
        <n v="1476.87"/>
        <n v="795.96"/>
        <n v="3550.13"/>
        <n v="1173.29"/>
        <n v="1195.4100000000001"/>
        <n v="3594.08"/>
        <n v="1654.21"/>
        <n v="2202.38"/>
        <n v="673.66"/>
        <n v="413.52"/>
        <n v="285.76"/>
        <n v="3178.96"/>
        <n v="873.32"/>
        <n v="1375.3"/>
        <n v="2281.7199999999998"/>
        <n v="338.07"/>
        <n v="304.11"/>
        <n v="3487.63"/>
        <n v="2055.64"/>
        <n v="1339.19"/>
        <n v="261.69"/>
        <n v="4919.67"/>
        <n v="66.03"/>
        <n v="835.83"/>
        <n v="820.09"/>
        <n v="2312.31"/>
        <n v="594.73"/>
        <n v="2960.9"/>
        <n v="1862.01"/>
        <n v="563.6"/>
        <n v="1162.94"/>
        <n v="1464.8"/>
        <n v="531.44000000000005"/>
        <n v="295.8"/>
        <n v="3122.87"/>
        <n v="1499.15"/>
        <n v="447.44"/>
        <n v="936.45"/>
        <n v="3385.77"/>
        <n v="678.72"/>
        <n v="4030.5"/>
        <n v="291.31"/>
        <n v="255.5"/>
        <n v="2788.66"/>
        <n v="1516.37"/>
        <n v="4229.25"/>
        <n v="1415.26"/>
        <n v="177.2"/>
        <n v="1138.94"/>
        <n v="224.93"/>
        <n v="1222.3399999999999"/>
        <n v="1984.82"/>
        <n v="698.33"/>
        <n v="2036.55"/>
        <n v="503.21"/>
        <n v="6216.25"/>
        <n v="920.64"/>
        <n v="205.77"/>
        <n v="1224.3800000000001"/>
        <n v="2742.8"/>
        <n v="4329.21"/>
        <n v="5183.71"/>
        <n v="294.75"/>
        <n v="1579.49"/>
        <n v="2283.5500000000002"/>
        <n v="1445.17"/>
        <n v="2597.08"/>
        <n v="1503.06"/>
        <n v="66.959999999999994"/>
        <n v="2878.72"/>
        <n v="1987.29"/>
        <n v="2334.65"/>
        <n v="4650.3599999999997"/>
        <n v="3641.63"/>
        <n v="3204.95"/>
        <n v="4976.92"/>
        <n v="1602.94"/>
        <n v="2088.02"/>
        <n v="5516.54"/>
        <n v="2742.26"/>
        <n v="217.53"/>
        <n v="3070.46"/>
        <n v="1435.51"/>
        <n v="1543.35"/>
        <n v="458.27"/>
        <n v="408.23"/>
        <n v="1116.02"/>
        <n v="922.09"/>
        <n v="1764.4"/>
        <n v="549.22"/>
        <n v="1736.47"/>
        <n v="4830.99"/>
        <n v="1490.91"/>
        <n v="2682.44"/>
        <n v="463.18"/>
        <n v="696.07"/>
        <n v="1398.27"/>
        <n v="1613.17"/>
        <n v="4449.72"/>
        <n v="395.99"/>
        <n v="2752.3"/>
        <n v="1324.95"/>
        <n v="2245.71"/>
        <n v="100.67"/>
        <n v="1701.94"/>
        <n v="2387.88"/>
        <n v="1366.56"/>
        <n v="442.06"/>
        <n v="3040"/>
        <n v="1206.55"/>
        <n v="2776.45"/>
        <n v="199.91"/>
        <n v="4460.8100000000004"/>
        <n v="868.43"/>
        <n v="2797.41"/>
        <n v="3390.6"/>
        <n v="1430.5"/>
        <n v="138.44"/>
        <n v="1178.8800000000001"/>
        <n v="268.04000000000002"/>
        <n v="2198.69"/>
        <n v="4047.23"/>
        <n v="551.51"/>
        <n v="2605.1799999999998"/>
        <n v="539.61"/>
        <n v="531.1"/>
        <n v="1725.67"/>
        <n v="1943.69"/>
        <n v="1437.56"/>
        <n v="350.05"/>
        <n v="660.72"/>
        <n v="1577.1"/>
        <n v="4793.59"/>
        <n v="872.76"/>
        <n v="651.14"/>
        <n v="306.63"/>
        <n v="1837.62"/>
        <n v="80.489999999999995"/>
        <n v="1986.78"/>
        <n v="2286.83"/>
        <n v="2042.25"/>
        <n v="108.44"/>
        <n v="314.02999999999997"/>
        <n v="2970.53"/>
        <n v="1272.1400000000001"/>
        <n v="1030.7"/>
        <n v="3178.68"/>
        <n v="2446.37"/>
        <n v="3892.66"/>
        <n v="428.38"/>
        <n v="1584.42"/>
        <n v="625.73"/>
        <n v="1197.6099999999999"/>
        <n v="241.35"/>
        <n v="3027.69"/>
        <n v="2461.87"/>
        <n v="1341.08"/>
        <n v="2401.92"/>
        <n v="1134.93"/>
        <n v="300.98"/>
        <n v="4184.07"/>
        <n v="742.97"/>
        <n v="2209.48"/>
        <n v="621.62"/>
        <n v="1270.45"/>
        <n v="2412.9299999999998"/>
        <n v="92.59"/>
        <n v="1081.52"/>
        <n v="371.59"/>
        <n v="3049.28"/>
        <n v="439.5"/>
        <n v="1546.29"/>
        <n v="672.68"/>
        <n v="626.96"/>
        <n v="266.37"/>
        <n v="1335.8"/>
        <n v="1168.49"/>
        <n v="3464.81"/>
        <n v="3410.24"/>
        <n v="1240.94"/>
        <n v="663.08"/>
        <n v="2536.5500000000002"/>
        <n v="777.67"/>
        <n v="4472.4799999999996"/>
        <n v="1437.33"/>
        <n v="2959.7"/>
        <n v="2558.9299999999998"/>
        <n v="1734.08"/>
        <n v="1785.67"/>
        <n v="3691.56"/>
        <n v="383.88"/>
        <n v="1643.15"/>
        <n v="2373.54"/>
        <n v="1098.04"/>
        <n v="328.63"/>
        <n v="3999.94"/>
        <n v="1007.48"/>
        <n v="726.13"/>
        <n v="2874.86"/>
        <n v="1486.6"/>
        <n v="438.48"/>
        <n v="333.87"/>
        <n v="2289.2600000000002"/>
        <n v="2390.14"/>
        <n v="4280.25"/>
        <n v="3479.8"/>
        <n v="1269.67"/>
        <n v="932.89"/>
        <n v="3428.27"/>
        <n v="1759.52"/>
        <n v="962.54"/>
        <n v="1714.07"/>
        <n v="6310.23"/>
        <n v="789.43"/>
        <n v="1383.32"/>
        <n v="509"/>
        <n v="3151.7"/>
        <n v="247.86"/>
        <n v="1922.9"/>
        <n v="1466.4"/>
        <n v="1135.73"/>
        <n v="2053.56"/>
        <n v="397.29"/>
        <n v="4732.49"/>
        <n v="2345.16"/>
        <n v="1754.31"/>
        <n v="1163.6300000000001"/>
        <n v="2320.8000000000002"/>
        <n v="665.84"/>
        <n v="637.9"/>
        <n v="587.32000000000005"/>
        <n v="2121.4699999999998"/>
        <n v="3579.42"/>
        <n v="1562.88"/>
        <n v="3401.29"/>
        <n v="1568.01"/>
        <n v="2154.67"/>
        <n v="3783.27"/>
        <n v="3345.26"/>
        <n v="869.91"/>
        <n v="1643.36"/>
        <n v="596.59"/>
        <n v="2833.1"/>
        <n v="858.79"/>
        <n v="2267.84"/>
        <n v="2131.69"/>
        <n v="3629.8"/>
        <n v="4751.01"/>
        <n v="800.62"/>
        <n v="5175.74"/>
        <n v="2503.44"/>
        <n v="2952.49"/>
        <n v="2107.06"/>
        <n v="5203.66"/>
        <n v="3110.08"/>
        <n v="940.67"/>
        <n v="783.5"/>
        <n v="1122.5999999999999"/>
        <n v="896.78"/>
        <n v="460.47"/>
        <n v="1374.48"/>
        <n v="1025.1600000000001"/>
        <n v="832.37"/>
        <n v="4708.8"/>
        <n v="717.01"/>
        <n v="2802.54"/>
        <n v="934.73"/>
        <n v="723.57"/>
        <n v="1534.54"/>
        <n v="1846.43"/>
        <n v="413.12"/>
        <n v="2189.7199999999998"/>
        <n v="3572.2"/>
        <n v="4659.6000000000004"/>
        <n v="945.39"/>
        <n v="1801.32"/>
        <n v="5993.78"/>
        <n v="2819"/>
        <n v="1274.42"/>
        <n v="5334.04"/>
        <n v="4635.68"/>
        <n v="1124.53"/>
        <n v="672.01"/>
        <n v="132.37"/>
        <n v="353.76"/>
        <n v="965.35"/>
        <n v="4384.84"/>
        <n v="307.58"/>
        <n v="933.47"/>
        <n v="2113.02"/>
        <n v="3466.7"/>
        <n v="3113.38"/>
        <n v="391.55"/>
        <n v="2399.15"/>
        <n v="619.92999999999995"/>
        <n v="211.57"/>
        <n v="1448.13"/>
        <n v="3338.33"/>
        <n v="3096.55"/>
        <n v="2267.9299999999998"/>
        <n v="777.1"/>
        <n v="1851.61"/>
        <n v="2009.43"/>
        <n v="782.32"/>
        <n v="89.54"/>
        <n v="1421.55"/>
        <n v="6669.23"/>
        <n v="474.36"/>
        <n v="2053.6"/>
        <n v="40.03"/>
        <n v="1167.3900000000001"/>
        <n v="7010.34"/>
        <n v="624.08000000000004"/>
        <n v="1905.98"/>
        <n v="4740.16"/>
        <n v="480.43"/>
        <n v="1943.43"/>
        <n v="251.12"/>
        <n v="3915.56"/>
        <n v="139.35"/>
        <n v="1360.24"/>
        <n v="2195.23"/>
        <n v="3164.27"/>
        <n v="1454.45"/>
        <n v="915.92"/>
        <n v="5938.49"/>
        <n v="3521.11"/>
        <n v="3515.33"/>
        <n v="3642.6"/>
        <n v="2225.34"/>
        <n v="156.16"/>
        <n v="3345.27"/>
        <n v="3049.49"/>
        <n v="2247.92"/>
        <n v="1407.97"/>
        <n v="399.77"/>
        <n v="1330.32"/>
        <n v="3548.1"/>
        <n v="1380.77"/>
        <n v="329.34"/>
        <n v="2188.48"/>
        <n v="2926.21"/>
        <n v="4076.05"/>
        <n v="3318.99"/>
        <n v="6339.89"/>
        <n v="3874.53"/>
        <n v="205.87"/>
        <n v="2093.56"/>
        <n v="1720.58"/>
        <n v="545.91999999999996"/>
        <n v="308.66000000000003"/>
        <n v="4654.82"/>
        <n v="689.92"/>
        <n v="1855.32"/>
        <n v="3338.76"/>
        <n v="3661.83"/>
        <n v="252.98"/>
        <n v="1509.84"/>
        <n v="851.95"/>
        <n v="2449.8200000000002"/>
        <n v="1426.98"/>
        <n v="981.93"/>
        <n v="1155.4000000000001"/>
        <n v="2265.21"/>
        <n v="93.11"/>
        <n v="1182.74"/>
        <n v="2145.61"/>
        <n v="1251.4000000000001"/>
        <n v="5108.03"/>
        <n v="61.51"/>
        <n v="2053.52"/>
        <n v="2704.51"/>
        <n v="1597.36"/>
        <n v="2811.06"/>
        <n v="2217.17"/>
        <n v="176.16"/>
        <n v="1618.42"/>
        <n v="4467.7299999999996"/>
        <n v="581.82000000000005"/>
        <n v="822.28"/>
        <n v="5476.44"/>
        <n v="974.49"/>
        <n v="352.27"/>
        <n v="5172.3"/>
        <n v="5513.82"/>
        <n v="2286.6999999999998"/>
        <n v="1393.4"/>
        <n v="633.67999999999995"/>
        <n v="2587.16"/>
        <n v="372.03"/>
        <n v="2435.04"/>
        <n v="2669.13"/>
        <n v="2086.13"/>
        <n v="2104.7600000000002"/>
        <n v="1801.69"/>
        <n v="1318.22"/>
        <n v="1379.93"/>
        <n v="4617.38"/>
        <n v="384.06"/>
        <n v="1733.19"/>
        <n v="559.11"/>
        <n v="2086.44"/>
        <n v="4496.08"/>
        <n v="5832.45"/>
        <n v="138.19999999999999"/>
        <n v="131.38999999999999"/>
        <n v="5225.6000000000004"/>
        <n v="248.08"/>
        <n v="374.14"/>
        <n v="412.27"/>
        <n v="2057.81"/>
        <n v="1122.6500000000001"/>
        <n v="2500.0300000000002"/>
        <n v="1696.31"/>
        <n v="4418.7700000000004"/>
        <n v="1267.42"/>
        <n v="5337.4"/>
        <n v="2574.04"/>
        <n v="300.14999999999998"/>
        <n v="1093.31"/>
        <n v="1620.18"/>
        <n v="1302.18"/>
        <n v="1412.19"/>
        <n v="288.3"/>
        <n v="1849.29"/>
        <n v="520.70000000000005"/>
        <n v="1436.65"/>
        <n v="2592.09"/>
        <n v="2082.63"/>
        <n v="2740.54"/>
        <n v="1615.25"/>
        <n v="628.63"/>
        <n v="4834.38"/>
        <n v="4398.53"/>
        <n v="1127.9000000000001"/>
        <n v="5114.09"/>
        <n v="557.84"/>
        <n v="512.11"/>
        <n v="4904.09"/>
        <n v="496.26"/>
        <n v="1930.12"/>
        <n v="904.9"/>
        <n v="33.07"/>
        <n v="2521.34"/>
        <n v="1022.15"/>
        <n v="524.52"/>
        <n v="479.06"/>
        <n v="695.36"/>
        <n v="1948.11"/>
        <n v="1629.3"/>
        <n v="89.68"/>
        <n v="3332.45"/>
        <n v="1472.27"/>
        <n v="3573.87"/>
        <n v="491.23"/>
        <n v="4548.24"/>
        <n v="1024.3599999999999"/>
        <n v="3323.25"/>
        <n v="2414.63"/>
        <n v="406.24"/>
        <n v="3900.23"/>
        <n v="5043.3100000000004"/>
        <n v="5888.5"/>
        <n v="305.54000000000002"/>
        <n v="4966.34"/>
        <n v="1865.38"/>
        <n v="1482.84"/>
        <n v="4140.6099999999997"/>
        <n v="3371.98"/>
        <n v="620.66"/>
        <n v="2223.85"/>
        <n v="3818.05"/>
        <n v="333.19"/>
        <n v="85.75"/>
        <n v="1282"/>
        <n v="3088.6"/>
        <n v="2715.67"/>
        <n v="606.98"/>
        <n v="1721"/>
        <n v="5708.91"/>
        <n v="516.16999999999996"/>
        <n v="426.67"/>
        <n v="2247.79"/>
        <n v="4037.2"/>
        <n v="1205.47"/>
        <n v="858.27"/>
        <n v="1186.83"/>
        <n v="992.49"/>
        <n v="4071.03"/>
        <n v="4645.8"/>
        <n v="2510.79"/>
        <n v="297.32"/>
        <n v="3292.41"/>
        <n v="556.4"/>
        <n v="463.61"/>
        <n v="223.96"/>
        <n v="621.16999999999996"/>
        <n v="1559.45"/>
        <n v="401.21"/>
        <n v="588.26"/>
        <n v="1661.02"/>
        <n v="373.68"/>
        <n v="658.46"/>
        <n v="194.33"/>
        <n v="3497.42"/>
        <n v="1178.8399999999999"/>
        <n v="634.89"/>
        <n v="1239.55"/>
        <n v="1256.75"/>
        <n v="2379.62"/>
        <n v="2953.9"/>
        <n v="3643.65"/>
        <n v="873.53"/>
        <n v="1849.18"/>
        <n v="4198.5600000000004"/>
        <n v="1041.57"/>
        <n v="176.62"/>
        <n v="738.78"/>
        <n v="3039.53"/>
        <n v="1861.92"/>
        <n v="3706.98"/>
        <n v="174.13"/>
        <n v="866.48"/>
        <n v="2160.86"/>
        <n v="1778.78"/>
        <n v="540.04999999999995"/>
        <n v="408"/>
        <n v="34.81"/>
        <n v="414.41"/>
        <n v="2694.44"/>
        <n v="3286.18"/>
        <n v="595.14"/>
        <n v="565.65"/>
        <n v="2933.23"/>
        <n v="312.25"/>
        <n v="2292.13"/>
        <n v="2975.97"/>
        <n v="1429.04"/>
        <n v="1180.93"/>
        <n v="1907.53"/>
        <n v="252.31"/>
        <n v="5268.12"/>
        <n v="2859.86"/>
        <n v="207.04"/>
        <n v="4624.05"/>
        <n v="2973.59"/>
        <n v="3725.95"/>
        <n v="529.82000000000005"/>
        <n v="756.25"/>
        <n v="1668.52"/>
        <n v="2267.1999999999998"/>
        <n v="626.98"/>
        <n v="2031.63"/>
        <n v="2737.21"/>
        <n v="1367.16"/>
        <n v="274.41000000000003"/>
        <n v="316.01"/>
        <n v="5496.45"/>
        <n v="1580.58"/>
        <n v="6438.25"/>
        <n v="84.71"/>
        <n v="2855.66"/>
        <n v="503.65"/>
        <n v="1028.51"/>
        <n v="2208.63"/>
        <n v="2708.86"/>
        <n v="1073.6300000000001"/>
        <n v="851.81"/>
        <n v="4126.67"/>
        <n v="1566.66"/>
        <n v="1168.3599999999999"/>
        <n v="622.99"/>
        <n v="546.35"/>
        <n v="2440.87"/>
        <n v="232.29"/>
        <n v="1349.74"/>
        <n v="1693"/>
        <n v="4855.97"/>
        <n v="5339.89"/>
        <n v="231.66"/>
        <n v="299.94"/>
        <n v="2113.4499999999998"/>
        <n v="1048.76"/>
        <n v="1323.9"/>
        <n v="624.01"/>
        <n v="930.23"/>
        <n v="2508.59"/>
        <n v="5134.78"/>
        <n v="2378.2199999999998"/>
        <n v="1220.6600000000001"/>
        <n v="417.09"/>
        <n v="501.37"/>
        <n v="842.92"/>
        <n v="533.38"/>
        <n v="3501.9"/>
        <n v="1819.23"/>
        <n v="5329.35"/>
        <n v="2334.09"/>
        <n v="409.58"/>
        <n v="2880.43"/>
        <n v="1326.11"/>
        <n v="2134.83"/>
        <n v="3561.03"/>
        <n v="3275.45"/>
        <n v="1397.22"/>
        <n v="196.21"/>
        <n v="1170.0899999999999"/>
        <n v="1455.15"/>
        <n v="1179.54"/>
        <n v="1649.33"/>
        <n v="3104.22"/>
        <n v="246.71"/>
        <n v="4100.76"/>
        <n v="4479.82"/>
        <n v="1445.75"/>
        <n v="2476.13"/>
        <n v="521.09"/>
        <n v="1540.92"/>
        <n v="2405.17"/>
        <n v="3687.47"/>
        <n v="1675.78"/>
        <n v="1829.6"/>
        <n v="3708.09"/>
        <n v="3080.63"/>
        <n v="1565.99"/>
        <n v="962.8"/>
        <n v="214.69"/>
        <n v="5387.86"/>
        <n v="1421.66"/>
        <n v="500.59"/>
        <n v="1210.02"/>
        <n v="1911.46"/>
        <n v="343.94"/>
        <n v="467.59"/>
        <n v="231.94"/>
        <n v="2704.43"/>
        <n v="4392.8999999999996"/>
        <n v="1173.92"/>
        <n v="1530.74"/>
        <n v="1835.75"/>
        <n v="1185.04"/>
        <n v="5137.76"/>
        <n v="2131.1"/>
        <n v="2034.74"/>
        <n v="1375.55"/>
        <n v="1726.54"/>
        <n v="2229.4699999999998"/>
        <n v="2765.69"/>
        <n v="196.7"/>
        <n v="1613.19"/>
        <n v="1825.06"/>
        <n v="570.32000000000005"/>
        <n v="2892.12"/>
        <n v="2323.08"/>
        <n v="3480.04"/>
        <n v="570.07000000000005"/>
        <n v="216.57"/>
        <n v="1041.54"/>
        <n v="2834.17"/>
        <n v="1497.75"/>
        <n v="549.11"/>
        <n v="815.49"/>
        <n v="2067.86"/>
        <n v="534.70000000000005"/>
        <n v="2022.29"/>
        <n v="1829.87"/>
        <n v="649"/>
        <n v="1713.29"/>
        <n v="1672.27"/>
        <n v="2852.35"/>
        <n v="254.47"/>
        <n v="587.59"/>
        <n v="896.55"/>
        <n v="5024.6899999999996"/>
        <n v="1162.32"/>
        <n v="3630.47"/>
        <n v="543.41"/>
        <n v="318.97000000000003"/>
        <n v="3319.53"/>
        <n v="1344.21"/>
        <n v="188.74"/>
        <n v="2888.8"/>
        <n v="194.62"/>
        <n v="1063.53"/>
        <n v="3180.01"/>
        <n v="913.3"/>
        <n v="5475.24"/>
        <n v="4092.06"/>
        <n v="2808.86"/>
        <n v="1917.09"/>
        <n v="334.9"/>
        <n v="286.45"/>
        <n v="2763.09"/>
        <n v="1439.29"/>
        <n v="2971.27"/>
        <n v="807.06"/>
        <n v="458.17"/>
        <n v="649.46"/>
        <n v="1668.99"/>
        <n v="203.91"/>
        <n v="659.29"/>
        <n v="4523.09"/>
        <n v="1222.01"/>
        <n v="1238.67"/>
        <n v="1286.19"/>
        <n v="43.29"/>
        <n v="1564.62"/>
        <n v="2699.08"/>
        <n v="1028.81"/>
        <n v="631.37"/>
        <n v="2545.56"/>
        <n v="231.69"/>
        <n v="4813.18"/>
      </sharedItems>
    </cacheField>
    <cacheField name="Profit" numFmtId="165">
      <sharedItems containsSemiMixedTypes="0" containsString="0" containsNumber="1" minValue="4.4699999999999989" maxValue="2063.6500000000005" count="997">
        <n v="109.87"/>
        <n v="536.19000000000005"/>
        <n v="302.84000000000015"/>
        <n v="1021.96"/>
        <n v="477.62000000000035"/>
        <n v="1411"/>
        <n v="1435.6600000000003"/>
        <n v="54.460000000000036"/>
        <n v="114.5"/>
        <n v="668.74"/>
        <n v="359.07999999999993"/>
        <n v="269.81000000000017"/>
        <n v="206.61999999999989"/>
        <n v="660.88999999999987"/>
        <n v="169.80999999999995"/>
        <n v="329.43999999999983"/>
        <n v="171.96000000000004"/>
        <n v="24.840000000000003"/>
        <n v="190.74"/>
        <n v="1327.9099999999999"/>
        <n v="18.759999999999998"/>
        <n v="461.00999999999976"/>
        <n v="849.08000000000038"/>
        <n v="218.87000000000012"/>
        <n v="573.49999999999977"/>
        <n v="298.75000000000011"/>
        <n v="538.04999999999995"/>
        <n v="287.54999999999995"/>
        <n v="831.49000000000024"/>
        <n v="2043.4899999999998"/>
        <n v="108.55000000000007"/>
        <n v="614.29999999999927"/>
        <n v="1242.5"/>
        <n v="132.91999999999996"/>
        <n v="395.40999999999997"/>
        <n v="6.6199999999999974"/>
        <n v="400.67000000000007"/>
        <n v="222.13000000000011"/>
        <n v="320.44000000000005"/>
        <n v="281.99"/>
        <n v="43.429999999999993"/>
        <n v="817.18000000000006"/>
        <n v="683.19"/>
        <n v="301.85000000000002"/>
        <n v="415.99"/>
        <n v="70.039999999999964"/>
        <n v="468.85000000000014"/>
        <n v="93.670000000000016"/>
        <n v="36.859999999999985"/>
        <n v="431.76000000000022"/>
        <n v="1574.6200000000003"/>
        <n v="919.2800000000002"/>
        <n v="33.240000000000009"/>
        <n v="127.01999999999998"/>
        <n v="14.739999999999995"/>
        <n v="137.43999999999994"/>
        <n v="628.32999999999993"/>
        <n v="244.56999999999994"/>
        <n v="16.300000000000011"/>
        <n v="616.86999999999989"/>
        <n v="461.53999999999996"/>
        <n v="93.029999999999973"/>
        <n v="340.99"/>
        <n v="1910.8599999999997"/>
        <n v="351.70000000000005"/>
        <n v="583.59000000000015"/>
        <n v="831.39999999999964"/>
        <n v="396.13000000000011"/>
        <n v="981.38000000000011"/>
        <n v="685.54"/>
        <n v="264.0100000000001"/>
        <n v="30.660000000000025"/>
        <n v="334.46000000000026"/>
        <n v="828.35000000000036"/>
        <n v="841.77999999999975"/>
        <n v="180.98000000000002"/>
        <n v="137.09000000000003"/>
        <n v="82.489999999999981"/>
        <n v="390.17999999999995"/>
        <n v="198.34999999999991"/>
        <n v="692.04999999999973"/>
        <n v="44.5"/>
        <n v="437.73"/>
        <n v="55.759999999999991"/>
        <n v="831.91000000000031"/>
        <n v="242.82999999999993"/>
        <n v="383.50999999999976"/>
        <n v="170.77999999999997"/>
        <n v="1002.4099999999999"/>
        <n v="89.599999999999966"/>
        <n v="932.07999999999993"/>
        <n v="615.11000000000013"/>
        <n v="130.06000000000006"/>
        <n v="125"/>
        <n v="282.44999999999982"/>
        <n v="1221.9899999999993"/>
        <n v="122.26999999999998"/>
        <n v="799.56"/>
        <n v="982.02"/>
        <n v="638.94000000000005"/>
        <n v="76.200000000000045"/>
        <n v="13.259999999999991"/>
        <n v="371.63999999999987"/>
        <n v="308.49"/>
        <n v="429.92000000000007"/>
        <n v="233.74"/>
        <n v="816.31999999999971"/>
        <n v="1361.2400000000002"/>
        <n v="131.24999999999989"/>
        <n v="370.46000000000004"/>
        <n v="528.07000000000016"/>
        <n v="168.39999999999998"/>
        <n v="431.63000000000011"/>
        <n v="1294.56"/>
        <n v="1063.0399999999995"/>
        <n v="102.88999999999999"/>
        <n v="67.109999999999985"/>
        <n v="147.26999999999998"/>
        <n v="293.34999999999991"/>
        <n v="69.94"/>
        <n v="50.660000000000025"/>
        <n v="326.49"/>
        <n v="98.710000000000036"/>
        <n v="67.44"/>
        <n v="255.09000000000003"/>
        <n v="44.91"/>
        <n v="631.66000000000031"/>
        <n v="638.54000000000019"/>
        <n v="86.799999999999955"/>
        <n v="134.30000000000001"/>
        <n v="97.050000000000011"/>
        <n v="1132.6500000000001"/>
        <n v="135.13"/>
        <n v="82.090000000000032"/>
        <n v="1112.1400000000003"/>
        <n v="364.52"/>
        <n v="357.65000000000009"/>
        <n v="1475.9099999999999"/>
        <n v="1912.2699999999995"/>
        <n v="551.67000000000007"/>
        <n v="220.01"/>
        <n v="195.6400000000001"/>
        <n v="79.239999999999952"/>
        <n v="63.960000000000008"/>
        <n v="724.10999999999967"/>
        <n v="1043.3199999999997"/>
        <n v="500.17999999999984"/>
        <n v="198.83000000000004"/>
        <n v="347.53999999999996"/>
        <n v="287.72000000000003"/>
        <n v="613.44000000000005"/>
        <n v="547.12999999999965"/>
        <n v="1836.2199999999998"/>
        <n v="29.009999999999991"/>
        <n v="28.939999999999998"/>
        <n v="441.75000000000023"/>
        <n v="270.3599999999999"/>
        <n v="144.06000000000017"/>
        <n v="1822.1400000000003"/>
        <n v="845.13000000000011"/>
        <n v="727.30000000000018"/>
        <n v="1059.2700000000004"/>
        <n v="167.27999999999997"/>
        <n v="325.11999999999989"/>
        <n v="283.8599999999999"/>
        <n v="57.370000000000005"/>
        <n v="619.64999999999964"/>
        <n v="268.59000000000003"/>
        <n v="533.92000000000007"/>
        <n v="399.34999999999991"/>
        <n v="146.67000000000002"/>
        <n v="51.02000000000001"/>
        <n v="674.86999999999989"/>
        <n v="342.30000000000018"/>
        <n v="95.590000000000032"/>
        <n v="73.09"/>
        <n v="980.76"/>
        <n v="104.59000000000003"/>
        <n v="454.97999999999979"/>
        <n v="96.480000000000018"/>
        <n v="634.49999999999955"/>
        <n v="153.40000000000009"/>
        <n v="245.77999999999997"/>
        <n v="280.21000000000004"/>
        <n v="503.73"/>
        <n v="653.54000000000019"/>
        <n v="327.18000000000006"/>
        <n v="63.200000000000045"/>
        <n v="67.31"/>
        <n v="184.22000000000003"/>
        <n v="194.7700000000001"/>
        <n v="536.61999999999989"/>
        <n v="246.95000000000005"/>
        <n v="55.670000000000016"/>
        <n v="1360.5200000000004"/>
        <n v="131.63999999999999"/>
        <n v="1942.1499999999996"/>
        <n v="47.53"/>
        <n v="185.46000000000004"/>
        <n v="18.059999999999988"/>
        <n v="100.67999999999995"/>
        <n v="126.00999999999999"/>
        <n v="98.5"/>
        <n v="790.90999999999985"/>
        <n v="214.20000000000005"/>
        <n v="110.82999999999998"/>
        <n v="634.29999999999973"/>
        <n v="1065.42"/>
        <n v="49.31"/>
        <n v="1288.0900000000006"/>
        <n v="1129.5900000000001"/>
        <n v="1163.7500000000005"/>
        <n v="445.78999999999996"/>
        <n v="443.13999999999987"/>
        <n v="311.67000000000007"/>
        <n v="932.27"/>
        <n v="524.94000000000028"/>
        <n v="1186.8699999999999"/>
        <n v="343.76000000000022"/>
        <n v="862.71"/>
        <n v="20.53"/>
        <n v="628.35999999999967"/>
        <n v="213.74"/>
        <n v="67.869999999999948"/>
        <n v="613.76000000000022"/>
        <n v="781.58000000000015"/>
        <n v="141.60999999999996"/>
        <n v="294.46000000000004"/>
        <n v="786.76000000000022"/>
        <n v="103.97000000000003"/>
        <n v="388.69999999999982"/>
        <n v="649.94000000000005"/>
        <n v="185.08999999999992"/>
        <n v="133.62999999999988"/>
        <n v="175.19000000000005"/>
        <n v="310.84000000000003"/>
        <n v="1252.4599999999991"/>
        <n v="746.16000000000008"/>
        <n v="316.98"/>
        <n v="1369.8500000000004"/>
        <n v="98.88"/>
        <n v="63.57000000000005"/>
        <n v="601.13999999999987"/>
        <n v="285.12"/>
        <n v="103.38999999999999"/>
        <n v="203.17999999999995"/>
        <n v="589.58999999999992"/>
        <n v="38.909999999999968"/>
        <n v="68.62"/>
        <n v="1096.2300000000005"/>
        <n v="20.420000000000002"/>
        <n v="745.54000000000019"/>
        <n v="261.80999999999995"/>
        <n v="727.7800000000002"/>
        <n v="620.23000000000047"/>
        <n v="12.150000000000006"/>
        <n v="164.16000000000003"/>
        <n v="352.41999999999996"/>
        <n v="155.49999999999989"/>
        <n v="371.92000000000007"/>
        <n v="320.5"/>
        <n v="663.17000000000007"/>
        <n v="22.160000000000004"/>
        <n v="250.18999999999983"/>
        <n v="575.53"/>
        <n v="812.14000000000033"/>
        <n v="471.16000000000031"/>
        <n v="349.82000000000016"/>
        <n v="151.74"/>
        <n v="391.37999999999988"/>
        <n v="925.42000000000007"/>
        <n v="73.730000000000018"/>
        <n v="168.51"/>
        <n v="1151.2199999999993"/>
        <n v="92.579999999999984"/>
        <n v="262.18000000000006"/>
        <n v="69.740000000000009"/>
        <n v="526.57999999999993"/>
        <n v="673.79"/>
        <n v="859.98"/>
        <n v="685.52"/>
        <n v="119.17000000000002"/>
        <n v="326.83999999999992"/>
        <n v="266.40000000000009"/>
        <n v="458.15999999999985"/>
        <n v="200.56000000000006"/>
        <n v="1123.25"/>
        <n v="390.2399999999999"/>
        <n v="371.99000000000012"/>
        <n v="1105.2199999999998"/>
        <n v="185.56999999999994"/>
        <n v="458.60000000000014"/>
        <n v="215.01999999999998"/>
        <n v="89.279999999999973"/>
        <n v="90.41"/>
        <n v="771.19999999999982"/>
        <n v="258.41000000000008"/>
        <n v="409.64"/>
        <n v="401.44999999999982"/>
        <n v="56.860000000000014"/>
        <n v="64.140000000000043"/>
        <n v="390.99000000000024"/>
        <n v="275.95999999999981"/>
        <n v="240.71000000000004"/>
        <n v="52.609999999999985"/>
        <n v="1429.38"/>
        <n v="8.7700000000000031"/>
        <n v="267.35000000000002"/>
        <n v="91.420000000000073"/>
        <n v="451.30999999999995"/>
        <n v="132.35000000000002"/>
        <n v="925.7"/>
        <n v="463.93000000000006"/>
        <n v="99.38"/>
        <n v="136.85000000000014"/>
        <n v="337.78999999999996"/>
        <n v="167.70000000000005"/>
        <n v="78.860000000000014"/>
        <n v="793.36999999999989"/>
        <n v="399.71000000000004"/>
        <n v="120.17000000000002"/>
        <n v="102.65000000000009"/>
        <n v="1071.77"/>
        <n v="136.27999999999997"/>
        <n v="923.79999999999973"/>
        <n v="70.75"/>
        <n v="60.050000000000011"/>
        <n v="626.02"/>
        <n v="444.6099999999999"/>
        <n v="1180.2300000000005"/>
        <n v="308.74"/>
        <n v="23.060000000000002"/>
        <n v="310.03999999999996"/>
        <n v="20.990000000000009"/>
        <n v="158.3599999999999"/>
        <n v="194.42999999999984"/>
        <n v="227.26999999999998"/>
        <n v="543.08999999999992"/>
        <n v="145.00999999999993"/>
        <n v="1615.75"/>
        <n v="214.79000000000008"/>
        <n v="67.230000000000018"/>
        <n v="392.46000000000015"/>
        <n v="845.50000000000023"/>
        <n v="444.99000000000024"/>
        <n v="1600.0900000000001"/>
        <n v="46.849999999999994"/>
        <n v="280.54999999999995"/>
        <n v="278.62000000000012"/>
        <n v="396.40000000000009"/>
        <n v="520.77999999999975"/>
        <n v="252.17999999999984"/>
        <n v="11.219999999999992"/>
        <n v="418.83999999999969"/>
        <n v="583.49"/>
        <n v="567.5"/>
        <n v="1187.6099999999997"/>
        <n v="608.82999999999993"/>
        <n v="371.29999999999973"/>
        <n v="1264.92"/>
        <n v="187.96000000000004"/>
        <n v="284.65999999999985"/>
        <n v="1260.71"/>
        <n v="407.86000000000013"/>
        <n v="54.650000000000006"/>
        <n v="877.88000000000011"/>
        <n v="468.66999999999996"/>
        <n v="187.37999999999988"/>
        <n v="140.43"/>
        <n v="90.87"/>
        <n v="255.77999999999997"/>
        <n v="275.29000000000008"/>
        <n v="486.19000000000005"/>
        <n v="119.40000000000003"/>
        <n v="522.73"/>
        <n v="773.60999999999967"/>
        <n v="287.85000000000014"/>
        <n v="624.44000000000005"/>
        <n v="145.65000000000003"/>
        <n v="169.48000000000002"/>
        <n v="464.78999999999996"/>
        <n v="158.57000000000016"/>
        <n v="1024.92"/>
        <n v="79.03000000000003"/>
        <n v="302.22000000000025"/>
        <n v="191.45000000000005"/>
        <n v="322.82999999999993"/>
        <n v="24.36"/>
        <n v="335.82999999999993"/>
        <n v="561.60000000000014"/>
        <n v="245.33999999999992"/>
        <n v="83.95999999999998"/>
        <n v="647.70000000000027"/>
        <n v="211.18999999999994"/>
        <n v="680.05000000000018"/>
        <n v="47.809999999999974"/>
        <n v="1389.9800000000005"/>
        <n v="208.23000000000002"/>
        <n v="621.00999999999976"/>
        <n v="959.20000000000027"/>
        <n v="341.68000000000006"/>
        <n v="36.099999999999994"/>
        <n v="252.42000000000007"/>
        <n v="64.120000000000033"/>
        <n v="651.80999999999995"/>
        <n v="811.5300000000002"/>
        <n v="100.55000000000001"/>
        <n v="446.77999999999975"/>
        <n v="73.050000000000011"/>
        <n v="58.28000000000003"/>
        <n v="235.76999999999998"/>
        <n v="556.94000000000005"/>
        <n v="222.07999999999993"/>
        <n v="108.83000000000001"/>
        <n v="160.96000000000004"/>
        <n v="398.69999999999982"/>
        <n v="1552.15"/>
        <n v="178.38"/>
        <n v="145.76"/>
        <n v="72.22"/>
        <n v="536.4699999999998"/>
        <n v="22.839999999999996"/>
        <n v="379.53"/>
        <n v="712.55"/>
        <n v="287.36999999999989"/>
        <n v="22.370000000000005"/>
        <n v="87.929999999999978"/>
        <n v="358.90000000000055"/>
        <n v="386.78000000000009"/>
        <n v="157.29999999999995"/>
        <n v="542.48999999999978"/>
        <n v="649.31999999999971"/>
        <n v="592.5"/>
        <n v="97.659999999999968"/>
        <n v="399.1099999999999"/>
        <n v="133.81"/>
        <n v="245.82999999999993"/>
        <n v="71.400000000000006"/>
        <n v="318.73"/>
        <n v="406.02999999999975"/>
        <n v="419.66999999999996"/>
        <n v="501.92000000000007"/>
        <n v="232.90999999999997"/>
        <n v="73.12"/>
        <n v="982.77"/>
        <n v="100.87"/>
        <n v="652.20000000000005"/>
        <n v="151.63999999999999"/>
        <n v="127.84000000000015"/>
        <n v="685.77999999999975"/>
        <n v="19.430000000000007"/>
        <n v="346.58000000000004"/>
        <n v="53.229999999999961"/>
        <n v="579.23000000000047"/>
        <n v="68.399999999999977"/>
        <n v="486.84999999999991"/>
        <n v="177.84999999999997"/>
        <n v="90.610000000000014"/>
        <n v="60.450000000000017"/>
        <n v="320.17999999999984"/>
        <n v="327.01"/>
        <n v="523.34000000000015"/>
        <n v="768.56"/>
        <n v="136.38000000000011"/>
        <n v="89.560000000000059"/>
        <n v="740.43000000000029"/>
        <n v="235.01999999999998"/>
        <n v="1249.0399999999995"/>
        <n v="297.29999999999995"/>
        <n v="372.59999999999991"/>
        <n v="723.29"/>
        <n v="552.83999999999992"/>
        <n v="396.94000000000005"/>
        <n v="818.45999999999958"/>
        <n v="98.68"/>
        <n v="398.69000000000005"/>
        <n v="704.54"/>
        <n v="186.14"/>
        <n v="69.659999999999968"/>
        <n v="662.44"/>
        <n v="133.24"/>
        <n v="80.029999999999973"/>
        <n v="903.02000000000021"/>
        <n v="426.46000000000004"/>
        <n v="64.960000000000036"/>
        <n v="35.740000000000009"/>
        <n v="317.09000000000015"/>
        <n v="530.08999999999992"/>
        <n v="1396.73"/>
        <n v="729.99000000000024"/>
        <n v="328.97000000000014"/>
        <n v="310.68999999999994"/>
        <n v="690.73999999999978"/>
        <n v="382.72"/>
        <n v="229.7299999999999"/>
        <n v="342.74"/>
        <n v="1757.2299999999996"/>
        <n v="163.38999999999999"/>
        <n v="343.72"/>
        <n v="64.519999999999982"/>
        <n v="978.89999999999964"/>
        <n v="75.440000000000026"/>
        <n v="521.57000000000016"/>
        <n v="459.72000000000014"/>
        <n v="126.48000000000002"/>
        <n v="376.42999999999984"/>
        <n v="117.05000000000001"/>
        <n v="1440.0399999999995"/>
        <n v="674.20999999999981"/>
        <n v="470.99999999999977"/>
        <n v="110.18000000000006"/>
        <n v="662.34000000000015"/>
        <n v="145.84000000000003"/>
        <n v="127.89999999999998"/>
        <n v="150.52000000000004"/>
        <n v="202.5799999999997"/>
        <n v="374.12000000000035"/>
        <n v="395.48000000000025"/>
        <n v="1049.6799999999998"/>
        <n v="374.06999999999994"/>
        <n v="560.32000000000016"/>
        <n v="659.82999999999993"/>
        <n v="798.10000000000036"/>
        <n v="88.409999999999968"/>
        <n v="258.49999999999977"/>
        <n v="158.47000000000003"/>
        <n v="540.98"/>
        <n v="231.23000000000002"/>
        <n v="742.44000000000028"/>
        <n v="518.53"/>
        <n v="1161.8100000000004"/>
        <n v="1421.9700000000003"/>
        <n v="185.36"/>
        <n v="825.14000000000033"/>
        <n v="677.84000000000015"/>
        <n v="774.7199999999998"/>
        <n v="612.22"/>
        <n v="937.35999999999967"/>
        <n v="963.17999999999984"/>
        <n v="303.40999999999997"/>
        <n v="152.77999999999997"/>
        <n v="203.37999999999988"/>
        <n v="126.55999999999995"/>
        <n v="80.450000000000045"/>
        <n v="428.12"/>
        <n v="152.5200000000001"/>
        <n v="161.81000000000006"/>
        <n v="1499.5800000000004"/>
        <n v="167.08999999999992"/>
        <n v="919.67999999999984"/>
        <n v="187.88"/>
        <n v="217.62000000000006"/>
        <n v="224.13999999999987"/>
        <n v="496.82999999999993"/>
        <n v="46.720000000000027"/>
        <n v="538.83999999999969"/>
        <n v="527.61999999999989"/>
        <n v="1212.9600000000005"/>
        <n v="115.61000000000001"/>
        <n v="573"/>
        <n v="1934.4199999999996"/>
        <n v="579"/>
        <n v="299.00000000000011"/>
        <n v="910.90000000000055"/>
        <n v="668.5600000000004"/>
        <n v="347.89"/>
        <n v="199.31"/>
        <n v="40.070000000000007"/>
        <n v="98.28"/>
        <n v="240.39999999999998"/>
        <n v="1080.8400000000001"/>
        <n v="78.239999999999981"/>
        <n v="107.82000000000005"/>
        <n v="553.34999999999991"/>
        <n v="549.80000000000018"/>
        <n v="830.48"/>
        <n v="94.03000000000003"/>
        <n v="582.79"/>
        <n v="178.38999999999993"/>
        <n v="70.52000000000001"/>
        <n v="293.09000000000015"/>
        <n v="1074.4300000000003"/>
        <n v="569.76000000000022"/>
        <n v="481.42999999999984"/>
        <n v="193.20000000000005"/>
        <n v="250.20999999999981"/>
        <n v="442.07000000000016"/>
        <n v="150.84000000000003"/>
        <n v="16.370000000000005"/>
        <n v="401.66999999999996"/>
        <n v="1747.5299999999997"/>
        <n v="72.740000000000009"/>
        <n v="569.99999999999977"/>
        <n v="4.4699999999999989"/>
        <n v="250.49000000000012"/>
        <n v="2044.7399999999998"/>
        <n v="199.88000000000005"/>
        <n v="434.60000000000014"/>
        <n v="1270.19"/>
        <n v="48.25"/>
        <n v="336.35000000000014"/>
        <n v="959.32000000000016"/>
        <n v="32.28"/>
        <n v="156.46000000000004"/>
        <n v="346.34999999999991"/>
        <n v="370.00999999999976"/>
        <n v="326.63000000000011"/>
        <n v="222.24"/>
        <n v="1527.9499999999998"/>
        <n v="693.76000000000022"/>
        <n v="719.75"/>
        <n v="914.48999999999978"/>
        <n v="311.54000000000019"/>
        <n v="16.039999999999992"/>
        <n v="609.95000000000027"/>
        <n v="641.35999999999967"/>
        <n v="563.54"/>
        <n v="147.40999999999985"/>
        <n v="52.599999999999966"/>
        <n v="357.78"/>
        <n v="714.54"/>
        <n v="255.31999999999994"/>
        <n v="68.539999999999964"/>
        <n v="592.41000000000008"/>
        <n v="665.23"/>
        <n v="718.37000000000035"/>
        <n v="630.36000000000013"/>
        <n v="1411.4900000000007"/>
        <n v="1052.4900000000002"/>
        <n v="26.97999999999999"/>
        <n v="515.38000000000011"/>
        <n v="249.34999999999991"/>
        <n v="120.31999999999994"/>
        <n v="67.820000000000022"/>
        <n v="1266.8199999999997"/>
        <n v="183.11999999999995"/>
        <n v="319.81999999999994"/>
        <n v="891.32000000000016"/>
        <n v="1043.4299999999998"/>
        <n v="32.340000000000003"/>
        <n v="479.52"/>
        <n v="272.91000000000008"/>
        <n v="783.92000000000007"/>
        <n v="347.13000000000011"/>
        <n v="292.56999999999994"/>
        <n v="135.7600000000001"/>
        <n v="416.31000000000017"/>
        <n v="30.159999999999997"/>
        <n v="301.46000000000004"/>
        <n v="567.45000000000005"/>
        <n v="151.90000000000009"/>
        <n v="814.57999999999993"/>
        <n v="10.169999999999995"/>
        <n v="221.75"/>
        <n v="660.97000000000025"/>
        <n v="480.36999999999989"/>
        <n v="371.65999999999985"/>
        <n v="468.83000000000015"/>
        <n v="39.78"/>
        <n v="199.42000000000007"/>
        <n v="968.52999999999929"/>
        <n v="61.680000000000064"/>
        <n v="216.91999999999996"/>
        <n v="1669.9599999999996"/>
        <n v="150.3900000000001"/>
        <n v="80.269999999999982"/>
        <n v="1178.1999999999998"/>
        <n v="1733.6599999999999"/>
        <n v="567.37999999999988"/>
        <n v="219.08000000000015"/>
        <n v="81.67999999999995"/>
        <n v="663.41999999999985"/>
        <n v="113.69"/>
        <n v="501.3599999999999"/>
        <n v="806.97"/>
        <n v="494.33000000000015"/>
        <n v="369.65000000000032"/>
        <n v="402.37000000000012"/>
        <n v="233.91999999999985"/>
        <n v="360.8900000000001"/>
        <n v="1396.96"/>
        <n v="35.78000000000003"/>
        <n v="498.67000000000007"/>
        <n v="55.69"/>
        <n v="565.62000000000012"/>
        <n v="1173.5300000000002"/>
        <n v="976.75"/>
        <n v="36.319999999999993"/>
        <n v="26.299999999999983"/>
        <n v="1323.8300000000008"/>
        <n v="54.480000000000018"/>
        <n v="39.31"/>
        <n v="126.19"/>
        <n v="661.28"/>
        <n v="357.95000000000005"/>
        <n v="752.41000000000031"/>
        <n v="460.71000000000004"/>
        <n v="506.69000000000051"/>
        <n v="221.98000000000002"/>
        <n v="1613.3999999999996"/>
        <n v="732.09999999999991"/>
        <n v="54.899999999999977"/>
        <n v="174.07999999999993"/>
        <n v="337.88000000000011"/>
        <n v="208.41000000000008"/>
        <n v="211.62000000000012"/>
        <n v="70.800000000000011"/>
        <n v="347.91000000000008"/>
        <n v="105.62"/>
        <n v="445.07000000000005"/>
        <n v="835.72000000000025"/>
        <n v="586.47"/>
        <n v="698.79999999999973"/>
        <n v="96.930000000000064"/>
        <n v="252.11000000000013"/>
        <n v="151.51"/>
        <n v="1445.3300000000004"/>
        <n v="584.95999999999958"/>
        <n v="250.27999999999997"/>
        <n v="701.75"/>
        <n v="81.259999999999991"/>
        <n v="116.11000000000001"/>
        <n v="827.72000000000025"/>
        <n v="68.339999999999975"/>
        <n v="540.47999999999979"/>
        <n v="278.53999999999996"/>
        <n v="5.6900000000000013"/>
        <n v="625.40000000000009"/>
        <n v="196.4899999999999"/>
        <n v="133.35999999999996"/>
        <n v="130.5"/>
        <n v="211.01"/>
        <n v="366.99"/>
        <n v="516.72"/>
        <n v="17.86"/>
        <n v="1033.5699999999997"/>
        <n v="356.02"/>
        <n v="657.26999999999953"/>
        <n v="101.25"/>
        <n v="1330.3999999999996"/>
        <n v="220.15999999999985"/>
        <n v="1107.0500000000002"/>
        <n v="406.23"/>
        <n v="102.59000000000003"/>
        <n v="747.90999999999985"/>
        <n v="1305.7100000000005"/>
        <n v="1495.5999999999995"/>
        <n v="36.410000000000025"/>
        <n v="1596.7400000000002"/>
        <n v="595.22"/>
        <n v="354.43999999999983"/>
        <n v="1120.1199999999994"/>
        <n v="894.46"/>
        <n v="75.939999999999941"/>
        <n v="654.40000000000009"/>
        <n v="606.86999999999989"/>
        <n v="43.20999999999998"/>
        <n v="10.709999999999994"/>
        <n v="392.6"/>
        <n v="434.73999999999978"/>
        <n v="546.42000000000007"/>
        <n v="166.10000000000002"/>
        <n v="359.40000000000009"/>
        <n v="1410.96"/>
        <n v="127.80999999999995"/>
        <n v="92.330000000000041"/>
        <n v="609.71"/>
        <n v="1202.08"/>
        <n v="140.8900000000001"/>
        <n v="254.37"/>
        <n v="193.18000000000006"/>
        <n v="275.01"/>
        <n v="1207.5300000000002"/>
        <n v="428.76000000000022"/>
        <n v="332.38999999999987"/>
        <n v="47.319999999999993"/>
        <n v="522.80999999999949"/>
        <n v="64.039999999999964"/>
        <n v="144.31"/>
        <n v="61.54000000000002"/>
        <n v="193.57"/>
        <n v="368.01"/>
        <n v="54.19"/>
        <n v="98.06"/>
        <n v="453.76"/>
        <n v="88.980000000000018"/>
        <n v="102.25999999999999"/>
        <n v="63.050000000000011"/>
        <n v="1003.7600000000002"/>
        <n v="357.59999999999991"/>
        <n v="118.64999999999998"/>
        <n v="244.38999999999987"/>
        <n v="196.30999999999995"/>
        <n v="321.32000000000016"/>
        <n v="813.40000000000009"/>
        <n v="415.25000000000045"/>
        <n v="283.37"/>
        <n v="419.26"/>
        <n v="1362.0200000000004"/>
        <n v="344.33999999999992"/>
        <n v="16.390000000000015"/>
        <n v="180.05999999999995"/>
        <n v="844.07000000000016"/>
        <n v="459.42000000000007"/>
        <n v="824.63999999999987"/>
        <n v="46.649999999999991"/>
        <n v="88.62"/>
        <n v="592.70000000000005"/>
        <n v="320.98"/>
        <n v="91.299999999999955"/>
        <n v="125.31"/>
        <n v="8.6300000000000026"/>
        <n v="62.100000000000023"/>
        <n v="726.69"/>
        <n v="394.02"/>
        <n v="171.37"/>
        <n v="182.56"/>
        <n v="289.12999999999965"/>
        <n v="47.20999999999998"/>
        <n v="428.87000000000012"/>
        <n v="694.59999999999945"/>
        <n v="148.81999999999994"/>
        <n v="155.76999999999998"/>
        <n v="193.11999999999989"/>
        <n v="62.069999999999993"/>
        <n v="1675.4"/>
        <n v="665.21"/>
        <n v="45.31"/>
        <n v="1454.5500000000002"/>
        <n v="458.90000000000009"/>
        <n v="1200.25"/>
        <n v="118.27000000000004"/>
        <n v="194.16999999999996"/>
        <n v="218.33000000000015"/>
        <n v="309.99999999999977"/>
        <n v="152.28000000000003"/>
        <n v="567.48"/>
        <n v="382.71000000000004"/>
        <n v="239.96000000000004"/>
        <n v="65.550000000000011"/>
        <n v="32.480000000000018"/>
        <n v="764.84999999999945"/>
        <n v="460.17999999999984"/>
        <n v="2063.6500000000005"/>
        <n v="8.1199999999999903"/>
        <n v="694.54999999999973"/>
        <n v="121.24999999999994"/>
        <n v="96.350000000000023"/>
        <n v="504.30000000000018"/>
        <n v="620.54"/>
        <n v="120.03000000000009"/>
        <n v="228.89"/>
        <n v="901.07000000000016"/>
        <n v="479.06000000000017"/>
        <n v="363.2399999999999"/>
        <n v="117.73000000000002"/>
        <n v="120.24000000000001"/>
        <n v="791.82999999999993"/>
        <n v="65.38"/>
        <n v="176.07999999999993"/>
        <n v="550.42000000000007"/>
        <n v="1403.65"/>
        <n v="1579.2500000000005"/>
        <n v="75.210000000000008"/>
        <n v="76.389999999999986"/>
        <n v="652.9699999999998"/>
        <n v="99.560000000000059"/>
        <n v="254.6400000000001"/>
        <n v="127.42000000000002"/>
        <n v="281.77"/>
        <n v="392.09000000000015"/>
        <n v="1366.7799999999997"/>
        <n v="422.87999999999988"/>
        <n v="280.01"/>
        <n v="111.35999999999996"/>
        <n v="125.37"/>
        <n v="222.31999999999994"/>
        <n v="112.77999999999997"/>
        <n v="385.92000000000007"/>
        <n v="470.78999999999996"/>
        <n v="1384.7500000000005"/>
        <n v="569.61000000000013"/>
        <n v="40.44"/>
        <n v="809.47999999999956"/>
        <n v="126.21000000000004"/>
        <n v="600.1099999999999"/>
        <n v="347.35000000000036"/>
        <n v="912.82999999999993"/>
        <n v="450.99"/>
        <n v="41.390000000000015"/>
        <n v="291.50999999999988"/>
        <n v="469.20000000000016"/>
        <n v="324.41999999999996"/>
        <n v="353.73"/>
        <n v="977.75999999999976"/>
        <n v="54.629999999999995"/>
        <n v="1291.3200000000002"/>
        <n v="510.45999999999958"/>
        <n v="406.67000000000007"/>
        <n v="555.63000000000011"/>
        <n v="73.770000000000039"/>
        <n v="182.40000000000009"/>
        <n v="777.73"/>
        <n v="920.86999999999944"/>
        <n v="270.19000000000005"/>
        <n v="529.24"/>
        <n v="653.5"/>
        <n v="811.55000000000018"/>
        <n v="247.49"/>
        <n v="243.39999999999998"/>
        <n v="52.900000000000006"/>
        <n v="1582.6599999999999"/>
        <n v="427.84000000000003"/>
        <n v="137.70999999999998"/>
        <n v="395.69999999999993"/>
        <n v="440.20000000000005"/>
        <n v="81.87"/>
        <n v="74.259999999999934"/>
        <n v="49.620000000000005"/>
        <n v="887.3"/>
        <n v="1116.1999999999994"/>
        <n v="362.78000000000009"/>
        <n v="141.1400000000001"/>
        <n v="382.70000000000005"/>
        <n v="352.72"/>
        <n v="794.0600000000004"/>
        <n v="592.49999999999977"/>
        <n v="461.03999999999996"/>
        <n v="448.54999999999995"/>
        <n v="303.08999999999992"/>
        <n v="413.81999999999971"/>
        <n v="274.29000000000042"/>
        <n v="41.72"/>
        <n v="351.11000000000013"/>
        <n v="397.18000000000006"/>
        <n v="172.10000000000002"/>
        <n v="544.19999999999982"/>
        <n v="709.88000000000011"/>
        <n v="595.59999999999991"/>
        <n v="116.99000000000007"/>
        <n v="24.25"/>
        <n v="281.91999999999996"/>
        <n v="674.73"/>
        <n v="150"/>
        <n v="71.75"/>
        <n v="203.73000000000002"/>
        <n v="352.86000000000013"/>
        <n v="116.00000000000006"/>
        <n v="245.80999999999995"/>
        <n v="583.54999999999995"/>
        <n v="200.36"/>
        <n v="424.12999999999988"/>
        <n v="212.91999999999985"/>
        <n v="774.69999999999982"/>
        <n v="46.25"/>
        <n v="176.87"/>
        <n v="198.82999999999993"/>
        <n v="1345.4899999999998"/>
        <n v="161.17999999999984"/>
        <n v="917.40999999999985"/>
        <n v="63.889999999999986"/>
        <n v="58.890000000000043"/>
        <n v="1037.4000000000001"/>
        <n v="249.89999999999986"/>
        <n v="24.560000000000002"/>
        <n v="482"/>
        <n v="38.710000000000008"/>
        <n v="114.58999999999992"/>
        <n v="496.84000000000015"/>
        <n v="283.02"/>
        <n v="1340.7299999999996"/>
        <n v="840.63000000000011"/>
        <n v="810.32000000000016"/>
        <n v="523.40999999999985"/>
        <n v="83.599999999999966"/>
        <n v="68.529999999999973"/>
        <n v="683.34000000000015"/>
        <n v="460.13"/>
        <n v="715.69"/>
        <n v="110.05999999999995"/>
        <n v="66.380000000000052"/>
        <n v="91.460000000000036"/>
        <n v="502.99"/>
        <n v="36.349999999999994"/>
        <n v="186.97999999999996"/>
        <n v="738.77"/>
        <n v="330.06999999999994"/>
        <n v="186.82000000000016"/>
        <n v="413.0100000000001"/>
        <n v="12.77"/>
        <n v="278.05999999999995"/>
        <n v="748.11999999999989"/>
        <n v="232.51999999999998"/>
        <n v="201.25"/>
        <n v="281.36000000000013"/>
        <n v="34.659999999999997"/>
        <n v="806.74000000000024"/>
      </sharedItems>
    </cacheField>
    <cacheField name="Sales Category" numFmtId="0">
      <sharedItems count="2">
        <s v="Low"/>
        <s v="High"/>
      </sharedItems>
    </cacheField>
    <cacheField name="Payment Mode" numFmtId="0">
      <sharedItems count="3">
        <s v="UPI"/>
        <s v="Cash"/>
        <s v="Card"/>
      </sharedItems>
    </cacheField>
    <cacheField name="Months (Date)" numFmtId="0" databaseField="0">
      <fieldGroup base="1">
        <rangePr groupBy="months" startDate="2024-01-02T00:00:00" endDate="2026-09-28T00:00:00"/>
        <groupItems count="14">
          <s v="&lt;02-01-2024"/>
          <s v="Jan"/>
          <s v="Feb"/>
          <s v="Mar"/>
          <s v="Apr"/>
          <s v="May"/>
          <s v="Jun"/>
          <s v="Jul"/>
          <s v="Aug"/>
          <s v="Sep"/>
          <s v="Oct"/>
          <s v="Nov"/>
          <s v="Dec"/>
          <s v="&gt;28-09-2026"/>
        </groupItems>
      </fieldGroup>
    </cacheField>
    <cacheField name="Quarters (Date)" numFmtId="0" databaseField="0">
      <fieldGroup base="1">
        <rangePr groupBy="quarters" startDate="2024-01-02T00:00:00" endDate="2026-09-28T00:00:00"/>
        <groupItems count="6">
          <s v="&lt;02-01-2024"/>
          <s v="Qtr1"/>
          <s v="Qtr2"/>
          <s v="Qtr3"/>
          <s v="Qtr4"/>
          <s v="&gt;28-09-2026"/>
        </groupItems>
      </fieldGroup>
    </cacheField>
    <cacheField name="Years (Date)" numFmtId="0" databaseField="0">
      <fieldGroup base="1">
        <rangePr groupBy="years" startDate="2024-01-02T00:00:00" endDate="2026-09-28T00:00:00"/>
        <groupItems count="5">
          <s v="&lt;02-01-2024"/>
          <s v="2024"/>
          <s v="2025"/>
          <s v="2026"/>
          <s v="&gt;28-09-2026"/>
        </groupItems>
      </fieldGroup>
    </cacheField>
  </cacheFields>
  <extLst>
    <ext xmlns:x14="http://schemas.microsoft.com/office/spreadsheetml/2009/9/main" uri="{725AE2AE-9491-48be-B2B4-4EB974FC3084}">
      <x14:pivotCacheDefinition pivotCacheId="1616804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1"/>
    <x v="0"/>
    <s v="Customer_40"/>
    <x v="0"/>
    <x v="0"/>
    <x v="0"/>
    <x v="0"/>
    <x v="0"/>
    <x v="0"/>
    <n v="162"/>
    <n v="648"/>
    <x v="0"/>
    <x v="0"/>
    <x v="0"/>
    <x v="0"/>
  </r>
  <r>
    <s v="ORD02"/>
    <x v="1"/>
    <s v="Customer_191"/>
    <x v="0"/>
    <x v="1"/>
    <x v="1"/>
    <x v="0"/>
    <x v="1"/>
    <x v="1"/>
    <n v="362.93"/>
    <n v="2903.44"/>
    <x v="1"/>
    <x v="1"/>
    <x v="1"/>
    <x v="1"/>
  </r>
  <r>
    <s v="ORD03"/>
    <x v="2"/>
    <s v="Customer_29"/>
    <x v="1"/>
    <x v="2"/>
    <x v="2"/>
    <x v="0"/>
    <x v="2"/>
    <x v="2"/>
    <n v="424.77"/>
    <n v="1274.31"/>
    <x v="2"/>
    <x v="2"/>
    <x v="0"/>
    <x v="1"/>
  </r>
  <r>
    <s v="ORD04"/>
    <x v="3"/>
    <s v="Customer_160"/>
    <x v="0"/>
    <x v="0"/>
    <x v="3"/>
    <x v="0"/>
    <x v="0"/>
    <x v="1"/>
    <n v="326.62"/>
    <n v="2612.96"/>
    <x v="3"/>
    <x v="3"/>
    <x v="1"/>
    <x v="0"/>
  </r>
  <r>
    <s v="ORD05"/>
    <x v="4"/>
    <s v="Customer_68"/>
    <x v="2"/>
    <x v="3"/>
    <x v="4"/>
    <x v="0"/>
    <x v="2"/>
    <x v="3"/>
    <n v="367.76"/>
    <n v="3677.6"/>
    <x v="4"/>
    <x v="4"/>
    <x v="1"/>
    <x v="1"/>
  </r>
  <r>
    <s v="ORD06"/>
    <x v="5"/>
    <s v="Customer_163"/>
    <x v="3"/>
    <x v="4"/>
    <x v="5"/>
    <x v="0"/>
    <x v="3"/>
    <x v="4"/>
    <n v="409.03"/>
    <n v="2863.21"/>
    <x v="5"/>
    <x v="5"/>
    <x v="1"/>
    <x v="1"/>
  </r>
  <r>
    <s v="ORD07"/>
    <x v="6"/>
    <s v="Customer_33"/>
    <x v="4"/>
    <x v="5"/>
    <x v="6"/>
    <x v="0"/>
    <x v="3"/>
    <x v="3"/>
    <n v="368.99"/>
    <n v="3689.9"/>
    <x v="6"/>
    <x v="6"/>
    <x v="1"/>
    <x v="0"/>
  </r>
  <r>
    <s v="ORD08"/>
    <x v="7"/>
    <s v="Customer_124"/>
    <x v="1"/>
    <x v="6"/>
    <x v="7"/>
    <x v="0"/>
    <x v="0"/>
    <x v="5"/>
    <n v="426.59"/>
    <n v="426.59"/>
    <x v="7"/>
    <x v="7"/>
    <x v="0"/>
    <x v="0"/>
  </r>
  <r>
    <s v="ORD09"/>
    <x v="8"/>
    <s v="Customer_79"/>
    <x v="4"/>
    <x v="5"/>
    <x v="8"/>
    <x v="0"/>
    <x v="1"/>
    <x v="6"/>
    <n v="91.86"/>
    <n v="826.74"/>
    <x v="8"/>
    <x v="8"/>
    <x v="0"/>
    <x v="1"/>
  </r>
  <r>
    <s v="ORD10"/>
    <x v="9"/>
    <s v="Customer_159"/>
    <x v="1"/>
    <x v="6"/>
    <x v="9"/>
    <x v="0"/>
    <x v="0"/>
    <x v="7"/>
    <n v="248.87"/>
    <n v="1493.22"/>
    <x v="9"/>
    <x v="9"/>
    <x v="1"/>
    <x v="2"/>
  </r>
  <r>
    <s v="ORD11"/>
    <x v="10"/>
    <s v="Customer_45"/>
    <x v="3"/>
    <x v="4"/>
    <x v="10"/>
    <x v="0"/>
    <x v="1"/>
    <x v="1"/>
    <n v="242.76"/>
    <n v="1942.08"/>
    <x v="10"/>
    <x v="10"/>
    <x v="1"/>
    <x v="0"/>
  </r>
  <r>
    <s v="ORD12"/>
    <x v="11"/>
    <s v="Customer_95"/>
    <x v="1"/>
    <x v="7"/>
    <x v="11"/>
    <x v="0"/>
    <x v="0"/>
    <x v="4"/>
    <n v="171.73"/>
    <n v="1202.1099999999999"/>
    <x v="11"/>
    <x v="11"/>
    <x v="0"/>
    <x v="0"/>
  </r>
  <r>
    <s v="ORD13"/>
    <x v="12"/>
    <s v="Customer_185"/>
    <x v="0"/>
    <x v="1"/>
    <x v="12"/>
    <x v="0"/>
    <x v="0"/>
    <x v="0"/>
    <n v="359.8"/>
    <n v="1439.2"/>
    <x v="12"/>
    <x v="12"/>
    <x v="0"/>
    <x v="1"/>
  </r>
  <r>
    <s v="ORD14"/>
    <x v="13"/>
    <s v="Customer_130"/>
    <x v="4"/>
    <x v="8"/>
    <x v="13"/>
    <x v="0"/>
    <x v="1"/>
    <x v="3"/>
    <n v="159.25"/>
    <n v="1592.5"/>
    <x v="13"/>
    <x v="13"/>
    <x v="1"/>
    <x v="2"/>
  </r>
  <r>
    <s v="ORD15"/>
    <x v="14"/>
    <s v="Customer_51"/>
    <x v="0"/>
    <x v="9"/>
    <x v="14"/>
    <x v="0"/>
    <x v="3"/>
    <x v="8"/>
    <n v="131.36000000000001"/>
    <n v="656.80000000000007"/>
    <x v="14"/>
    <x v="14"/>
    <x v="0"/>
    <x v="0"/>
  </r>
  <r>
    <s v="ORD16"/>
    <x v="15"/>
    <s v="Customer_158"/>
    <x v="4"/>
    <x v="10"/>
    <x v="15"/>
    <x v="0"/>
    <x v="2"/>
    <x v="8"/>
    <n v="388.56"/>
    <n v="1942.8"/>
    <x v="15"/>
    <x v="15"/>
    <x v="1"/>
    <x v="2"/>
  </r>
  <r>
    <s v="ORD17"/>
    <x v="16"/>
    <s v="Customer_141"/>
    <x v="0"/>
    <x v="9"/>
    <x v="16"/>
    <x v="0"/>
    <x v="2"/>
    <x v="5"/>
    <n v="378.24"/>
    <n v="378.24"/>
    <x v="16"/>
    <x v="16"/>
    <x v="0"/>
    <x v="1"/>
  </r>
  <r>
    <s v="ORD18"/>
    <x v="17"/>
    <s v="Customer_105"/>
    <x v="2"/>
    <x v="3"/>
    <x v="17"/>
    <x v="0"/>
    <x v="2"/>
    <x v="5"/>
    <n v="202.45"/>
    <n v="202.45"/>
    <x v="17"/>
    <x v="17"/>
    <x v="0"/>
    <x v="1"/>
  </r>
  <r>
    <s v="ORD19"/>
    <x v="18"/>
    <s v="Customer_76"/>
    <x v="0"/>
    <x v="0"/>
    <x v="18"/>
    <x v="0"/>
    <x v="0"/>
    <x v="5"/>
    <n v="499.23"/>
    <n v="499.23"/>
    <x v="18"/>
    <x v="18"/>
    <x v="0"/>
    <x v="2"/>
  </r>
  <r>
    <s v="ORD20"/>
    <x v="19"/>
    <s v="Customer_178"/>
    <x v="2"/>
    <x v="11"/>
    <x v="19"/>
    <x v="0"/>
    <x v="1"/>
    <x v="3"/>
    <n v="400.18"/>
    <n v="4001.8"/>
    <x v="19"/>
    <x v="19"/>
    <x v="1"/>
    <x v="1"/>
  </r>
  <r>
    <s v="ORD21"/>
    <x v="20"/>
    <s v="Customer_184"/>
    <x v="0"/>
    <x v="1"/>
    <x v="12"/>
    <x v="0"/>
    <x v="1"/>
    <x v="5"/>
    <n v="40.590000000000003"/>
    <n v="40.590000000000003"/>
    <x v="20"/>
    <x v="20"/>
    <x v="0"/>
    <x v="0"/>
  </r>
  <r>
    <s v="ORD22"/>
    <x v="21"/>
    <s v="Customer_132"/>
    <x v="1"/>
    <x v="7"/>
    <x v="11"/>
    <x v="0"/>
    <x v="1"/>
    <x v="4"/>
    <n v="450.66"/>
    <n v="3154.6200000000003"/>
    <x v="21"/>
    <x v="21"/>
    <x v="1"/>
    <x v="0"/>
  </r>
  <r>
    <s v="ORD23"/>
    <x v="22"/>
    <s v="Customer_44"/>
    <x v="0"/>
    <x v="0"/>
    <x v="20"/>
    <x v="0"/>
    <x v="1"/>
    <x v="6"/>
    <n v="390.9"/>
    <n v="3518.1"/>
    <x v="22"/>
    <x v="22"/>
    <x v="1"/>
    <x v="2"/>
  </r>
  <r>
    <s v="ORD24"/>
    <x v="23"/>
    <s v="Customer_150"/>
    <x v="2"/>
    <x v="3"/>
    <x v="4"/>
    <x v="0"/>
    <x v="2"/>
    <x v="1"/>
    <n v="146.72999999999999"/>
    <n v="1173.8399999999999"/>
    <x v="23"/>
    <x v="23"/>
    <x v="0"/>
    <x v="1"/>
  </r>
  <r>
    <s v="ORD25"/>
    <x v="24"/>
    <s v="Customer_194"/>
    <x v="0"/>
    <x v="12"/>
    <x v="21"/>
    <x v="0"/>
    <x v="1"/>
    <x v="8"/>
    <n v="382.72"/>
    <n v="1913.6000000000001"/>
    <x v="24"/>
    <x v="24"/>
    <x v="1"/>
    <x v="2"/>
  </r>
  <r>
    <s v="ORD26"/>
    <x v="25"/>
    <s v="Customer_149"/>
    <x v="2"/>
    <x v="11"/>
    <x v="19"/>
    <x v="0"/>
    <x v="3"/>
    <x v="0"/>
    <n v="200.6"/>
    <n v="802.4"/>
    <x v="25"/>
    <x v="25"/>
    <x v="0"/>
    <x v="0"/>
  </r>
  <r>
    <s v="ORD27"/>
    <x v="26"/>
    <s v="Customer_16"/>
    <x v="1"/>
    <x v="6"/>
    <x v="22"/>
    <x v="0"/>
    <x v="0"/>
    <x v="4"/>
    <n v="220.26"/>
    <n v="1541.82"/>
    <x v="26"/>
    <x v="26"/>
    <x v="1"/>
    <x v="1"/>
  </r>
  <r>
    <s v="ORD28"/>
    <x v="27"/>
    <s v="Customer_102"/>
    <x v="2"/>
    <x v="13"/>
    <x v="23"/>
    <x v="0"/>
    <x v="3"/>
    <x v="9"/>
    <n v="309.29000000000002"/>
    <n v="618.58000000000004"/>
    <x v="27"/>
    <x v="27"/>
    <x v="0"/>
    <x v="0"/>
  </r>
  <r>
    <s v="ORD29"/>
    <x v="28"/>
    <s v="Customer_23"/>
    <x v="0"/>
    <x v="12"/>
    <x v="24"/>
    <x v="0"/>
    <x v="1"/>
    <x v="6"/>
    <n v="378.73"/>
    <n v="3408.57"/>
    <x v="28"/>
    <x v="28"/>
    <x v="1"/>
    <x v="1"/>
  </r>
  <r>
    <s v="ORD30"/>
    <x v="29"/>
    <s v="Customer_47"/>
    <x v="1"/>
    <x v="2"/>
    <x v="25"/>
    <x v="0"/>
    <x v="0"/>
    <x v="3"/>
    <n v="494.27"/>
    <n v="4942.7"/>
    <x v="29"/>
    <x v="29"/>
    <x v="1"/>
    <x v="2"/>
  </r>
  <r>
    <s v="ORD31"/>
    <x v="30"/>
    <s v="Customer_40"/>
    <x v="1"/>
    <x v="14"/>
    <x v="26"/>
    <x v="0"/>
    <x v="3"/>
    <x v="9"/>
    <n v="367.78"/>
    <n v="735.56"/>
    <x v="30"/>
    <x v="30"/>
    <x v="0"/>
    <x v="1"/>
  </r>
  <r>
    <s v="ORD32"/>
    <x v="31"/>
    <s v="Customer_119"/>
    <x v="1"/>
    <x v="7"/>
    <x v="27"/>
    <x v="0"/>
    <x v="2"/>
    <x v="3"/>
    <n v="477.22"/>
    <n v="4772.2000000000007"/>
    <x v="31"/>
    <x v="31"/>
    <x v="1"/>
    <x v="0"/>
  </r>
  <r>
    <s v="ORD33"/>
    <x v="32"/>
    <s v="Customer_118"/>
    <x v="4"/>
    <x v="8"/>
    <x v="28"/>
    <x v="0"/>
    <x v="0"/>
    <x v="4"/>
    <n v="435.07"/>
    <n v="3045.49"/>
    <x v="32"/>
    <x v="32"/>
    <x v="1"/>
    <x v="2"/>
  </r>
  <r>
    <s v="ORD34"/>
    <x v="33"/>
    <s v="Customer_135"/>
    <x v="2"/>
    <x v="11"/>
    <x v="29"/>
    <x v="0"/>
    <x v="2"/>
    <x v="5"/>
    <n v="381.76"/>
    <n v="381.76"/>
    <x v="33"/>
    <x v="33"/>
    <x v="0"/>
    <x v="2"/>
  </r>
  <r>
    <s v="ORD35"/>
    <x v="34"/>
    <s v="Customer_3"/>
    <x v="0"/>
    <x v="1"/>
    <x v="12"/>
    <x v="0"/>
    <x v="0"/>
    <x v="9"/>
    <n v="416.31"/>
    <n v="832.62"/>
    <x v="34"/>
    <x v="34"/>
    <x v="0"/>
    <x v="1"/>
  </r>
  <r>
    <s v="ORD36"/>
    <x v="35"/>
    <s v="Customer_106"/>
    <x v="4"/>
    <x v="8"/>
    <x v="30"/>
    <x v="0"/>
    <x v="0"/>
    <x v="5"/>
    <n v="32.880000000000003"/>
    <n v="32.880000000000003"/>
    <x v="35"/>
    <x v="35"/>
    <x v="0"/>
    <x v="0"/>
  </r>
  <r>
    <s v="ORD37"/>
    <x v="36"/>
    <s v="Customer_174"/>
    <x v="1"/>
    <x v="2"/>
    <x v="2"/>
    <x v="0"/>
    <x v="3"/>
    <x v="2"/>
    <n v="455.9"/>
    <n v="1367.6999999999998"/>
    <x v="36"/>
    <x v="36"/>
    <x v="0"/>
    <x v="1"/>
  </r>
  <r>
    <s v="ORD38"/>
    <x v="37"/>
    <s v="Customer_175"/>
    <x v="1"/>
    <x v="7"/>
    <x v="31"/>
    <x v="0"/>
    <x v="2"/>
    <x v="6"/>
    <n v="246.39"/>
    <n v="2217.5099999999998"/>
    <x v="37"/>
    <x v="37"/>
    <x v="1"/>
    <x v="0"/>
  </r>
  <r>
    <s v="ORD39"/>
    <x v="38"/>
    <s v="Customer_37"/>
    <x v="0"/>
    <x v="1"/>
    <x v="32"/>
    <x v="0"/>
    <x v="3"/>
    <x v="1"/>
    <n v="132.69999999999999"/>
    <n v="1061.5999999999999"/>
    <x v="38"/>
    <x v="38"/>
    <x v="0"/>
    <x v="1"/>
  </r>
  <r>
    <s v="ORD40"/>
    <x v="39"/>
    <s v="Customer_36"/>
    <x v="1"/>
    <x v="2"/>
    <x v="33"/>
    <x v="0"/>
    <x v="3"/>
    <x v="2"/>
    <n v="396.86"/>
    <n v="1190.58"/>
    <x v="39"/>
    <x v="39"/>
    <x v="0"/>
    <x v="2"/>
  </r>
  <r>
    <s v="ORD41"/>
    <x v="40"/>
    <s v="Customer_111"/>
    <x v="2"/>
    <x v="13"/>
    <x v="23"/>
    <x v="0"/>
    <x v="3"/>
    <x v="9"/>
    <n v="49.04"/>
    <n v="98.08"/>
    <x v="40"/>
    <x v="40"/>
    <x v="0"/>
    <x v="2"/>
  </r>
  <r>
    <s v="ORD42"/>
    <x v="41"/>
    <s v="Customer_84"/>
    <x v="2"/>
    <x v="13"/>
    <x v="34"/>
    <x v="0"/>
    <x v="0"/>
    <x v="4"/>
    <n v="279.74"/>
    <n v="1958.18"/>
    <x v="41"/>
    <x v="41"/>
    <x v="1"/>
    <x v="0"/>
  </r>
  <r>
    <s v="ORD43"/>
    <x v="42"/>
    <s v="Customer_33"/>
    <x v="1"/>
    <x v="14"/>
    <x v="26"/>
    <x v="0"/>
    <x v="1"/>
    <x v="7"/>
    <n v="270.42"/>
    <n v="1622.52"/>
    <x v="42"/>
    <x v="42"/>
    <x v="1"/>
    <x v="0"/>
  </r>
  <r>
    <s v="ORD44"/>
    <x v="43"/>
    <s v="Customer_1"/>
    <x v="2"/>
    <x v="3"/>
    <x v="35"/>
    <x v="0"/>
    <x v="1"/>
    <x v="0"/>
    <n v="195.02"/>
    <n v="780.08"/>
    <x v="43"/>
    <x v="43"/>
    <x v="0"/>
    <x v="2"/>
  </r>
  <r>
    <s v="ORD45"/>
    <x v="44"/>
    <s v="Customer_40"/>
    <x v="0"/>
    <x v="9"/>
    <x v="36"/>
    <x v="0"/>
    <x v="2"/>
    <x v="4"/>
    <n v="145.47999999999999"/>
    <n v="1018.3599999999999"/>
    <x v="44"/>
    <x v="44"/>
    <x v="0"/>
    <x v="1"/>
  </r>
  <r>
    <s v="ORD46"/>
    <x v="45"/>
    <s v="Customer_75"/>
    <x v="0"/>
    <x v="15"/>
    <x v="37"/>
    <x v="0"/>
    <x v="1"/>
    <x v="9"/>
    <n v="144.80000000000001"/>
    <n v="289.60000000000002"/>
    <x v="45"/>
    <x v="45"/>
    <x v="0"/>
    <x v="1"/>
  </r>
  <r>
    <s v="ORD47"/>
    <x v="46"/>
    <s v="Customer_136"/>
    <x v="1"/>
    <x v="7"/>
    <x v="38"/>
    <x v="0"/>
    <x v="2"/>
    <x v="1"/>
    <n v="223.35"/>
    <n v="1786.8"/>
    <x v="46"/>
    <x v="46"/>
    <x v="1"/>
    <x v="0"/>
  </r>
  <r>
    <s v="ORD48"/>
    <x v="47"/>
    <s v="Customer_87"/>
    <x v="0"/>
    <x v="1"/>
    <x v="1"/>
    <x v="0"/>
    <x v="0"/>
    <x v="8"/>
    <n v="65.239999999999995"/>
    <n v="326.2"/>
    <x v="47"/>
    <x v="47"/>
    <x v="0"/>
    <x v="0"/>
  </r>
  <r>
    <s v="ORD49"/>
    <x v="48"/>
    <s v="Customer_101"/>
    <x v="1"/>
    <x v="2"/>
    <x v="39"/>
    <x v="0"/>
    <x v="1"/>
    <x v="5"/>
    <n v="245.91"/>
    <n v="245.91"/>
    <x v="48"/>
    <x v="48"/>
    <x v="0"/>
    <x v="1"/>
  </r>
  <r>
    <s v="ORD50"/>
    <x v="49"/>
    <s v="Customer_75"/>
    <x v="0"/>
    <x v="1"/>
    <x v="32"/>
    <x v="0"/>
    <x v="3"/>
    <x v="1"/>
    <n v="263.58"/>
    <n v="2108.64"/>
    <x v="49"/>
    <x v="49"/>
    <x v="1"/>
    <x v="1"/>
  </r>
  <r>
    <s v="ORD51"/>
    <x v="50"/>
    <s v="Customer_189"/>
    <x v="3"/>
    <x v="4"/>
    <x v="40"/>
    <x v="0"/>
    <x v="0"/>
    <x v="1"/>
    <n v="494.32"/>
    <n v="3954.56"/>
    <x v="50"/>
    <x v="50"/>
    <x v="1"/>
    <x v="2"/>
  </r>
  <r>
    <s v="ORD52"/>
    <x v="51"/>
    <s v="Customer_159"/>
    <x v="1"/>
    <x v="14"/>
    <x v="26"/>
    <x v="0"/>
    <x v="0"/>
    <x v="3"/>
    <n v="227.07"/>
    <n v="2270.6999999999998"/>
    <x v="51"/>
    <x v="51"/>
    <x v="1"/>
    <x v="0"/>
  </r>
  <r>
    <s v="ORD53"/>
    <x v="52"/>
    <s v="Customer_138"/>
    <x v="1"/>
    <x v="2"/>
    <x v="2"/>
    <x v="0"/>
    <x v="0"/>
    <x v="7"/>
    <n v="50.22"/>
    <n v="301.32"/>
    <x v="52"/>
    <x v="52"/>
    <x v="0"/>
    <x v="0"/>
  </r>
  <r>
    <s v="ORD54"/>
    <x v="53"/>
    <s v="Customer_144"/>
    <x v="0"/>
    <x v="15"/>
    <x v="41"/>
    <x v="0"/>
    <x v="2"/>
    <x v="2"/>
    <n v="91.9"/>
    <n v="275.70000000000005"/>
    <x v="53"/>
    <x v="53"/>
    <x v="0"/>
    <x v="1"/>
  </r>
  <r>
    <s v="ORD55"/>
    <x v="54"/>
    <s v="Customer_106"/>
    <x v="2"/>
    <x v="13"/>
    <x v="42"/>
    <x v="0"/>
    <x v="0"/>
    <x v="5"/>
    <n v="101.67"/>
    <n v="101.67"/>
    <x v="54"/>
    <x v="54"/>
    <x v="0"/>
    <x v="0"/>
  </r>
  <r>
    <s v="ORD56"/>
    <x v="55"/>
    <s v="Customer_71"/>
    <x v="4"/>
    <x v="10"/>
    <x v="15"/>
    <x v="0"/>
    <x v="0"/>
    <x v="9"/>
    <n v="435.8"/>
    <n v="871.6"/>
    <x v="55"/>
    <x v="55"/>
    <x v="0"/>
    <x v="1"/>
  </r>
  <r>
    <s v="ORD57"/>
    <x v="56"/>
    <s v="Customer_66"/>
    <x v="3"/>
    <x v="4"/>
    <x v="40"/>
    <x v="0"/>
    <x v="2"/>
    <x v="3"/>
    <n v="251.55"/>
    <n v="2515.5"/>
    <x v="56"/>
    <x v="56"/>
    <x v="1"/>
    <x v="1"/>
  </r>
  <r>
    <s v="ORD58"/>
    <x v="57"/>
    <s v="Customer_178"/>
    <x v="2"/>
    <x v="3"/>
    <x v="17"/>
    <x v="0"/>
    <x v="2"/>
    <x v="3"/>
    <n v="120.63"/>
    <n v="1206.3"/>
    <x v="57"/>
    <x v="57"/>
    <x v="0"/>
    <x v="0"/>
  </r>
  <r>
    <s v="ORD59"/>
    <x v="58"/>
    <s v="Customer_169"/>
    <x v="1"/>
    <x v="14"/>
    <x v="43"/>
    <x v="0"/>
    <x v="2"/>
    <x v="5"/>
    <n v="161.25"/>
    <n v="161.25"/>
    <x v="58"/>
    <x v="58"/>
    <x v="0"/>
    <x v="2"/>
  </r>
  <r>
    <s v="ORD60"/>
    <x v="59"/>
    <s v="Customer_192"/>
    <x v="1"/>
    <x v="7"/>
    <x v="11"/>
    <x v="0"/>
    <x v="0"/>
    <x v="4"/>
    <n v="473.62"/>
    <n v="3315.34"/>
    <x v="59"/>
    <x v="59"/>
    <x v="1"/>
    <x v="2"/>
  </r>
  <r>
    <s v="ORD61"/>
    <x v="60"/>
    <s v="Customer_50"/>
    <x v="0"/>
    <x v="1"/>
    <x v="32"/>
    <x v="0"/>
    <x v="3"/>
    <x v="8"/>
    <n v="278.64999999999998"/>
    <n v="1393.25"/>
    <x v="60"/>
    <x v="60"/>
    <x v="0"/>
    <x v="1"/>
  </r>
  <r>
    <s v="ORD62"/>
    <x v="61"/>
    <s v="Customer_2"/>
    <x v="4"/>
    <x v="5"/>
    <x v="6"/>
    <x v="0"/>
    <x v="0"/>
    <x v="1"/>
    <n v="66.3"/>
    <n v="530.4"/>
    <x v="61"/>
    <x v="61"/>
    <x v="0"/>
    <x v="2"/>
  </r>
  <r>
    <s v="ORD63"/>
    <x v="62"/>
    <s v="Customer_139"/>
    <x v="0"/>
    <x v="1"/>
    <x v="44"/>
    <x v="0"/>
    <x v="1"/>
    <x v="1"/>
    <n v="161.68"/>
    <n v="1293.44"/>
    <x v="62"/>
    <x v="62"/>
    <x v="0"/>
    <x v="2"/>
  </r>
  <r>
    <s v="ORD64"/>
    <x v="63"/>
    <s v="Customer_178"/>
    <x v="0"/>
    <x v="0"/>
    <x v="18"/>
    <x v="0"/>
    <x v="0"/>
    <x v="3"/>
    <n v="422.56"/>
    <n v="4225.6000000000004"/>
    <x v="63"/>
    <x v="63"/>
    <x v="1"/>
    <x v="1"/>
  </r>
  <r>
    <s v="ORD65"/>
    <x v="64"/>
    <s v="Customer_168"/>
    <x v="3"/>
    <x v="4"/>
    <x v="10"/>
    <x v="0"/>
    <x v="0"/>
    <x v="0"/>
    <n v="365.19"/>
    <n v="1460.76"/>
    <x v="64"/>
    <x v="64"/>
    <x v="0"/>
    <x v="1"/>
  </r>
  <r>
    <s v="ORD66"/>
    <x v="65"/>
    <s v="Customer_175"/>
    <x v="1"/>
    <x v="7"/>
    <x v="45"/>
    <x v="0"/>
    <x v="3"/>
    <x v="2"/>
    <n v="459.44"/>
    <n v="1378.32"/>
    <x v="65"/>
    <x v="65"/>
    <x v="0"/>
    <x v="0"/>
  </r>
  <r>
    <s v="ORD67"/>
    <x v="66"/>
    <s v="Customer_191"/>
    <x v="0"/>
    <x v="1"/>
    <x v="32"/>
    <x v="0"/>
    <x v="2"/>
    <x v="1"/>
    <n v="325.73"/>
    <n v="2605.84"/>
    <x v="66"/>
    <x v="66"/>
    <x v="1"/>
    <x v="2"/>
  </r>
  <r>
    <s v="ORD68"/>
    <x v="67"/>
    <s v="Customer_180"/>
    <x v="4"/>
    <x v="8"/>
    <x v="30"/>
    <x v="0"/>
    <x v="2"/>
    <x v="0"/>
    <n v="300.58999999999997"/>
    <n v="1202.3599999999999"/>
    <x v="67"/>
    <x v="67"/>
    <x v="0"/>
    <x v="2"/>
  </r>
  <r>
    <s v="ORD69"/>
    <x v="68"/>
    <s v="Customer_103"/>
    <x v="0"/>
    <x v="0"/>
    <x v="18"/>
    <x v="0"/>
    <x v="0"/>
    <x v="1"/>
    <n v="292.13"/>
    <n v="2337.04"/>
    <x v="68"/>
    <x v="68"/>
    <x v="1"/>
    <x v="2"/>
  </r>
  <r>
    <s v="ORD70"/>
    <x v="69"/>
    <s v="Customer_58"/>
    <x v="1"/>
    <x v="6"/>
    <x v="7"/>
    <x v="0"/>
    <x v="2"/>
    <x v="4"/>
    <n v="317.27999999999997"/>
    <n v="2220.96"/>
    <x v="69"/>
    <x v="69"/>
    <x v="1"/>
    <x v="1"/>
  </r>
  <r>
    <s v="ORD71"/>
    <x v="70"/>
    <s v="Customer_73"/>
    <x v="2"/>
    <x v="11"/>
    <x v="29"/>
    <x v="0"/>
    <x v="2"/>
    <x v="9"/>
    <n v="418.09"/>
    <n v="836.18"/>
    <x v="70"/>
    <x v="70"/>
    <x v="0"/>
    <x v="0"/>
  </r>
  <r>
    <s v="ORD72"/>
    <x v="71"/>
    <s v="Customer_75"/>
    <x v="4"/>
    <x v="5"/>
    <x v="8"/>
    <x v="0"/>
    <x v="1"/>
    <x v="9"/>
    <n v="131.1"/>
    <n v="262.2"/>
    <x v="71"/>
    <x v="71"/>
    <x v="0"/>
    <x v="2"/>
  </r>
  <r>
    <s v="ORD73"/>
    <x v="72"/>
    <s v="Customer_170"/>
    <x v="0"/>
    <x v="9"/>
    <x v="46"/>
    <x v="0"/>
    <x v="2"/>
    <x v="0"/>
    <n v="458.09"/>
    <n v="1832.36"/>
    <x v="72"/>
    <x v="72"/>
    <x v="1"/>
    <x v="2"/>
  </r>
  <r>
    <s v="ORD74"/>
    <x v="73"/>
    <s v="Customer_164"/>
    <x v="4"/>
    <x v="5"/>
    <x v="6"/>
    <x v="0"/>
    <x v="0"/>
    <x v="3"/>
    <n v="268.27"/>
    <n v="2682.7"/>
    <x v="73"/>
    <x v="73"/>
    <x v="1"/>
    <x v="1"/>
  </r>
  <r>
    <s v="ORD75"/>
    <x v="74"/>
    <s v="Customer_69"/>
    <x v="2"/>
    <x v="11"/>
    <x v="47"/>
    <x v="0"/>
    <x v="1"/>
    <x v="8"/>
    <n v="411.73"/>
    <n v="2058.65"/>
    <x v="74"/>
    <x v="74"/>
    <x v="1"/>
    <x v="1"/>
  </r>
  <r>
    <s v="ORD76"/>
    <x v="75"/>
    <s v="Customer_57"/>
    <x v="1"/>
    <x v="2"/>
    <x v="25"/>
    <x v="0"/>
    <x v="3"/>
    <x v="2"/>
    <n v="158.5"/>
    <n v="475.5"/>
    <x v="75"/>
    <x v="75"/>
    <x v="0"/>
    <x v="2"/>
  </r>
  <r>
    <s v="ORD77"/>
    <x v="76"/>
    <s v="Customer_138"/>
    <x v="1"/>
    <x v="2"/>
    <x v="39"/>
    <x v="0"/>
    <x v="1"/>
    <x v="5"/>
    <n v="322.82"/>
    <n v="322.82"/>
    <x v="76"/>
    <x v="76"/>
    <x v="0"/>
    <x v="2"/>
  </r>
  <r>
    <s v="ORD78"/>
    <x v="77"/>
    <s v="Customer_46"/>
    <x v="2"/>
    <x v="3"/>
    <x v="48"/>
    <x v="0"/>
    <x v="3"/>
    <x v="5"/>
    <n v="253.77"/>
    <n v="253.77"/>
    <x v="77"/>
    <x v="77"/>
    <x v="0"/>
    <x v="2"/>
  </r>
  <r>
    <s v="ORD79"/>
    <x v="78"/>
    <s v="Customer_80"/>
    <x v="0"/>
    <x v="15"/>
    <x v="41"/>
    <x v="0"/>
    <x v="1"/>
    <x v="6"/>
    <n v="87.71"/>
    <n v="789.39"/>
    <x v="78"/>
    <x v="78"/>
    <x v="0"/>
    <x v="1"/>
  </r>
  <r>
    <s v="ORD80"/>
    <x v="79"/>
    <s v="Customer_135"/>
    <x v="4"/>
    <x v="10"/>
    <x v="15"/>
    <x v="0"/>
    <x v="0"/>
    <x v="9"/>
    <n v="294.54000000000002"/>
    <n v="589.08000000000004"/>
    <x v="79"/>
    <x v="79"/>
    <x v="0"/>
    <x v="1"/>
  </r>
  <r>
    <s v="ORD81"/>
    <x v="80"/>
    <s v="Customer_141"/>
    <x v="0"/>
    <x v="15"/>
    <x v="49"/>
    <x v="0"/>
    <x v="1"/>
    <x v="7"/>
    <n v="499.37"/>
    <n v="2996.2200000000003"/>
    <x v="80"/>
    <x v="80"/>
    <x v="1"/>
    <x v="2"/>
  </r>
  <r>
    <s v="ORD82"/>
    <x v="81"/>
    <s v="Customer_79"/>
    <x v="4"/>
    <x v="8"/>
    <x v="28"/>
    <x v="0"/>
    <x v="0"/>
    <x v="7"/>
    <n v="50.21"/>
    <n v="301.26"/>
    <x v="81"/>
    <x v="81"/>
    <x v="0"/>
    <x v="1"/>
  </r>
  <r>
    <s v="ORD83"/>
    <x v="82"/>
    <s v="Customer_182"/>
    <x v="3"/>
    <x v="4"/>
    <x v="10"/>
    <x v="0"/>
    <x v="3"/>
    <x v="4"/>
    <n v="309.82"/>
    <n v="2168.7399999999998"/>
    <x v="82"/>
    <x v="82"/>
    <x v="1"/>
    <x v="1"/>
  </r>
  <r>
    <s v="ORD84"/>
    <x v="83"/>
    <s v="Customer_127"/>
    <x v="1"/>
    <x v="6"/>
    <x v="50"/>
    <x v="0"/>
    <x v="2"/>
    <x v="5"/>
    <n v="212.2"/>
    <n v="212.2"/>
    <x v="83"/>
    <x v="83"/>
    <x v="0"/>
    <x v="1"/>
  </r>
  <r>
    <s v="ORD85"/>
    <x v="84"/>
    <s v="Customer_97"/>
    <x v="1"/>
    <x v="14"/>
    <x v="26"/>
    <x v="0"/>
    <x v="2"/>
    <x v="6"/>
    <n v="325.14"/>
    <n v="2926.2599999999998"/>
    <x v="84"/>
    <x v="84"/>
    <x v="1"/>
    <x v="1"/>
  </r>
  <r>
    <s v="ORD86"/>
    <x v="85"/>
    <s v="Customer_192"/>
    <x v="1"/>
    <x v="7"/>
    <x v="11"/>
    <x v="0"/>
    <x v="1"/>
    <x v="0"/>
    <n v="185.68"/>
    <n v="742.72"/>
    <x v="85"/>
    <x v="85"/>
    <x v="0"/>
    <x v="1"/>
  </r>
  <r>
    <s v="ORD87"/>
    <x v="86"/>
    <s v="Customer_83"/>
    <x v="1"/>
    <x v="7"/>
    <x v="45"/>
    <x v="0"/>
    <x v="0"/>
    <x v="3"/>
    <n v="104.18"/>
    <n v="1041.8000000000002"/>
    <x v="86"/>
    <x v="86"/>
    <x v="0"/>
    <x v="1"/>
  </r>
  <r>
    <s v="ORD88"/>
    <x v="87"/>
    <s v="Customer_147"/>
    <x v="1"/>
    <x v="2"/>
    <x v="2"/>
    <x v="0"/>
    <x v="1"/>
    <x v="9"/>
    <n v="449.77"/>
    <n v="899.54"/>
    <x v="87"/>
    <x v="87"/>
    <x v="0"/>
    <x v="1"/>
  </r>
  <r>
    <s v="ORD89"/>
    <x v="88"/>
    <s v="Customer_155"/>
    <x v="2"/>
    <x v="3"/>
    <x v="51"/>
    <x v="0"/>
    <x v="2"/>
    <x v="8"/>
    <n v="495.45"/>
    <n v="2477.25"/>
    <x v="88"/>
    <x v="88"/>
    <x v="1"/>
    <x v="1"/>
  </r>
  <r>
    <s v="ORD90"/>
    <x v="89"/>
    <s v="Customer_167"/>
    <x v="4"/>
    <x v="5"/>
    <x v="8"/>
    <x v="0"/>
    <x v="1"/>
    <x v="5"/>
    <n v="360.8"/>
    <n v="360.8"/>
    <x v="89"/>
    <x v="89"/>
    <x v="0"/>
    <x v="1"/>
  </r>
  <r>
    <s v="ORD91"/>
    <x v="90"/>
    <s v="Customer_5"/>
    <x v="1"/>
    <x v="2"/>
    <x v="39"/>
    <x v="0"/>
    <x v="2"/>
    <x v="7"/>
    <n v="343.54"/>
    <n v="2061.2400000000002"/>
    <x v="90"/>
    <x v="90"/>
    <x v="1"/>
    <x v="0"/>
  </r>
  <r>
    <s v="ORD92"/>
    <x v="91"/>
    <s v="Customer_91"/>
    <x v="1"/>
    <x v="2"/>
    <x v="25"/>
    <x v="0"/>
    <x v="3"/>
    <x v="0"/>
    <n v="360.39"/>
    <n v="1441.56"/>
    <x v="91"/>
    <x v="91"/>
    <x v="1"/>
    <x v="1"/>
  </r>
  <r>
    <s v="ORD93"/>
    <x v="92"/>
    <s v="Customer_122"/>
    <x v="2"/>
    <x v="3"/>
    <x v="48"/>
    <x v="0"/>
    <x v="0"/>
    <x v="4"/>
    <n v="84.96"/>
    <n v="594.71999999999991"/>
    <x v="92"/>
    <x v="92"/>
    <x v="0"/>
    <x v="1"/>
  </r>
  <r>
    <s v="ORD94"/>
    <x v="93"/>
    <s v="Customer_170"/>
    <x v="1"/>
    <x v="2"/>
    <x v="25"/>
    <x v="0"/>
    <x v="2"/>
    <x v="9"/>
    <n v="232.25"/>
    <n v="464.5"/>
    <x v="93"/>
    <x v="93"/>
    <x v="0"/>
    <x v="2"/>
  </r>
  <r>
    <s v="ORD95"/>
    <x v="94"/>
    <s v="Customer_22"/>
    <x v="2"/>
    <x v="13"/>
    <x v="34"/>
    <x v="0"/>
    <x v="2"/>
    <x v="5"/>
    <n v="319.33"/>
    <n v="319.33"/>
    <x v="94"/>
    <x v="7"/>
    <x v="0"/>
    <x v="2"/>
  </r>
  <r>
    <s v="ORD96"/>
    <x v="95"/>
    <s v="Customer_19"/>
    <x v="2"/>
    <x v="3"/>
    <x v="4"/>
    <x v="0"/>
    <x v="0"/>
    <x v="8"/>
    <n v="356.36"/>
    <n v="1781.8000000000002"/>
    <x v="95"/>
    <x v="94"/>
    <x v="1"/>
    <x v="2"/>
  </r>
  <r>
    <s v="ORD97"/>
    <x v="96"/>
    <s v="Customer_145"/>
    <x v="1"/>
    <x v="2"/>
    <x v="33"/>
    <x v="0"/>
    <x v="2"/>
    <x v="6"/>
    <n v="448.55"/>
    <n v="4036.9500000000003"/>
    <x v="96"/>
    <x v="95"/>
    <x v="1"/>
    <x v="0"/>
  </r>
  <r>
    <s v="ORD98"/>
    <x v="97"/>
    <s v="Customer_25"/>
    <x v="0"/>
    <x v="15"/>
    <x v="52"/>
    <x v="0"/>
    <x v="3"/>
    <x v="8"/>
    <n v="73.849999999999994"/>
    <n v="369.25"/>
    <x v="97"/>
    <x v="96"/>
    <x v="0"/>
    <x v="0"/>
  </r>
  <r>
    <s v="ORD99"/>
    <x v="98"/>
    <s v="Customer_169"/>
    <x v="4"/>
    <x v="10"/>
    <x v="53"/>
    <x v="0"/>
    <x v="2"/>
    <x v="8"/>
    <n v="482.02"/>
    <n v="2410.1"/>
    <x v="98"/>
    <x v="97"/>
    <x v="1"/>
    <x v="0"/>
  </r>
  <r>
    <s v="ORD100"/>
    <x v="99"/>
    <s v="Customer_82"/>
    <x v="0"/>
    <x v="15"/>
    <x v="52"/>
    <x v="0"/>
    <x v="3"/>
    <x v="7"/>
    <n v="478.28"/>
    <n v="2869.68"/>
    <x v="99"/>
    <x v="98"/>
    <x v="1"/>
    <x v="0"/>
  </r>
  <r>
    <s v="ORD101"/>
    <x v="100"/>
    <s v="Customer_54"/>
    <x v="0"/>
    <x v="15"/>
    <x v="37"/>
    <x v="0"/>
    <x v="2"/>
    <x v="7"/>
    <n v="449.32"/>
    <n v="2695.92"/>
    <x v="100"/>
    <x v="99"/>
    <x v="1"/>
    <x v="0"/>
  </r>
  <r>
    <s v="ORD102"/>
    <x v="101"/>
    <s v="Customer_60"/>
    <x v="1"/>
    <x v="6"/>
    <x v="22"/>
    <x v="0"/>
    <x v="3"/>
    <x v="9"/>
    <n v="277.57"/>
    <n v="555.14"/>
    <x v="101"/>
    <x v="100"/>
    <x v="0"/>
    <x v="0"/>
  </r>
  <r>
    <s v="ORD103"/>
    <x v="102"/>
    <s v="Customer_163"/>
    <x v="0"/>
    <x v="0"/>
    <x v="20"/>
    <x v="0"/>
    <x v="2"/>
    <x v="0"/>
    <n v="21.69"/>
    <n v="86.76"/>
    <x v="102"/>
    <x v="101"/>
    <x v="0"/>
    <x v="2"/>
  </r>
  <r>
    <s v="ORD104"/>
    <x v="103"/>
    <s v="Customer_175"/>
    <x v="2"/>
    <x v="11"/>
    <x v="54"/>
    <x v="0"/>
    <x v="1"/>
    <x v="4"/>
    <n v="365.29"/>
    <n v="2557.0300000000002"/>
    <x v="103"/>
    <x v="102"/>
    <x v="1"/>
    <x v="0"/>
  </r>
  <r>
    <s v="ORD105"/>
    <x v="104"/>
    <s v="Customer_71"/>
    <x v="3"/>
    <x v="4"/>
    <x v="55"/>
    <x v="0"/>
    <x v="1"/>
    <x v="0"/>
    <n v="363.12"/>
    <n v="1452.48"/>
    <x v="104"/>
    <x v="103"/>
    <x v="0"/>
    <x v="2"/>
  </r>
  <r>
    <s v="ORD106"/>
    <x v="105"/>
    <s v="Customer_155"/>
    <x v="2"/>
    <x v="13"/>
    <x v="42"/>
    <x v="0"/>
    <x v="3"/>
    <x v="0"/>
    <n v="266.58999999999997"/>
    <n v="1066.3599999999999"/>
    <x v="105"/>
    <x v="104"/>
    <x v="0"/>
    <x v="1"/>
  </r>
  <r>
    <s v="ORD107"/>
    <x v="106"/>
    <s v="Customer_57"/>
    <x v="2"/>
    <x v="13"/>
    <x v="56"/>
    <x v="0"/>
    <x v="3"/>
    <x v="6"/>
    <n v="120.7"/>
    <n v="1086.3"/>
    <x v="106"/>
    <x v="105"/>
    <x v="0"/>
    <x v="2"/>
  </r>
  <r>
    <s v="ORD108"/>
    <x v="107"/>
    <s v="Customer_30"/>
    <x v="0"/>
    <x v="9"/>
    <x v="16"/>
    <x v="0"/>
    <x v="0"/>
    <x v="7"/>
    <n v="462.04"/>
    <n v="2772.2400000000002"/>
    <x v="107"/>
    <x v="106"/>
    <x v="1"/>
    <x v="1"/>
  </r>
  <r>
    <s v="ORD109"/>
    <x v="108"/>
    <s v="Customer_49"/>
    <x v="1"/>
    <x v="2"/>
    <x v="2"/>
    <x v="0"/>
    <x v="1"/>
    <x v="3"/>
    <n v="334.54"/>
    <n v="3345.4"/>
    <x v="108"/>
    <x v="107"/>
    <x v="1"/>
    <x v="2"/>
  </r>
  <r>
    <s v="ORD110"/>
    <x v="109"/>
    <s v="Customer_108"/>
    <x v="1"/>
    <x v="6"/>
    <x v="9"/>
    <x v="0"/>
    <x v="2"/>
    <x v="9"/>
    <n v="489.41"/>
    <n v="978.82"/>
    <x v="109"/>
    <x v="108"/>
    <x v="0"/>
    <x v="2"/>
  </r>
  <r>
    <s v="ORD111"/>
    <x v="110"/>
    <s v="Customer_127"/>
    <x v="1"/>
    <x v="7"/>
    <x v="38"/>
    <x v="0"/>
    <x v="0"/>
    <x v="0"/>
    <n v="298.83999999999997"/>
    <n v="1195.3599999999999"/>
    <x v="110"/>
    <x v="109"/>
    <x v="0"/>
    <x v="0"/>
  </r>
  <r>
    <s v="ORD112"/>
    <x v="111"/>
    <s v="Customer_161"/>
    <x v="3"/>
    <x v="4"/>
    <x v="10"/>
    <x v="0"/>
    <x v="3"/>
    <x v="0"/>
    <n v="321.27999999999997"/>
    <n v="1285.1199999999999"/>
    <x v="111"/>
    <x v="110"/>
    <x v="0"/>
    <x v="1"/>
  </r>
  <r>
    <s v="ORD113"/>
    <x v="112"/>
    <s v="Customer_183"/>
    <x v="0"/>
    <x v="1"/>
    <x v="57"/>
    <x v="0"/>
    <x v="0"/>
    <x v="2"/>
    <n v="146.71"/>
    <n v="440.13"/>
    <x v="112"/>
    <x v="111"/>
    <x v="0"/>
    <x v="2"/>
  </r>
  <r>
    <s v="ORD114"/>
    <x v="113"/>
    <s v="Customer_52"/>
    <x v="1"/>
    <x v="2"/>
    <x v="25"/>
    <x v="0"/>
    <x v="2"/>
    <x v="7"/>
    <n v="266.42"/>
    <n v="1598.52"/>
    <x v="113"/>
    <x v="112"/>
    <x v="1"/>
    <x v="2"/>
  </r>
  <r>
    <s v="ORD115"/>
    <x v="114"/>
    <s v="Customer_101"/>
    <x v="1"/>
    <x v="7"/>
    <x v="11"/>
    <x v="0"/>
    <x v="3"/>
    <x v="6"/>
    <n v="425.65"/>
    <n v="3830.85"/>
    <x v="114"/>
    <x v="113"/>
    <x v="1"/>
    <x v="1"/>
  </r>
  <r>
    <s v="ORD116"/>
    <x v="115"/>
    <s v="Customer_107"/>
    <x v="0"/>
    <x v="0"/>
    <x v="0"/>
    <x v="0"/>
    <x v="3"/>
    <x v="1"/>
    <n v="383.91"/>
    <n v="3071.28"/>
    <x v="115"/>
    <x v="114"/>
    <x v="1"/>
    <x v="2"/>
  </r>
  <r>
    <s v="ORD117"/>
    <x v="116"/>
    <s v="Customer_148"/>
    <x v="4"/>
    <x v="5"/>
    <x v="6"/>
    <x v="0"/>
    <x v="1"/>
    <x v="0"/>
    <n v="162.26"/>
    <n v="649.04"/>
    <x v="116"/>
    <x v="115"/>
    <x v="0"/>
    <x v="0"/>
  </r>
  <r>
    <s v="ORD118"/>
    <x v="117"/>
    <s v="Customer_106"/>
    <x v="1"/>
    <x v="2"/>
    <x v="2"/>
    <x v="0"/>
    <x v="2"/>
    <x v="9"/>
    <n v="117.49"/>
    <n v="234.98"/>
    <x v="117"/>
    <x v="116"/>
    <x v="0"/>
    <x v="0"/>
  </r>
  <r>
    <s v="ORD119"/>
    <x v="118"/>
    <s v="Customer_192"/>
    <x v="3"/>
    <x v="4"/>
    <x v="55"/>
    <x v="0"/>
    <x v="2"/>
    <x v="0"/>
    <n v="181.2"/>
    <n v="724.8"/>
    <x v="118"/>
    <x v="0"/>
    <x v="0"/>
    <x v="0"/>
  </r>
  <r>
    <s v="ORD120"/>
    <x v="119"/>
    <s v="Customer_118"/>
    <x v="0"/>
    <x v="15"/>
    <x v="52"/>
    <x v="0"/>
    <x v="2"/>
    <x v="2"/>
    <n v="482.02"/>
    <n v="1446.06"/>
    <x v="119"/>
    <x v="117"/>
    <x v="0"/>
    <x v="0"/>
  </r>
  <r>
    <s v="ORD121"/>
    <x v="120"/>
    <s v="Customer_19"/>
    <x v="1"/>
    <x v="14"/>
    <x v="58"/>
    <x v="0"/>
    <x v="0"/>
    <x v="6"/>
    <n v="218.72"/>
    <n v="1968.48"/>
    <x v="120"/>
    <x v="118"/>
    <x v="1"/>
    <x v="1"/>
  </r>
  <r>
    <s v="ORD122"/>
    <x v="121"/>
    <s v="Customer_165"/>
    <x v="4"/>
    <x v="8"/>
    <x v="13"/>
    <x v="0"/>
    <x v="3"/>
    <x v="9"/>
    <n v="208.79"/>
    <n v="417.58"/>
    <x v="121"/>
    <x v="119"/>
    <x v="0"/>
    <x v="2"/>
  </r>
  <r>
    <s v="ORD123"/>
    <x v="122"/>
    <s v="Customer_124"/>
    <x v="4"/>
    <x v="5"/>
    <x v="59"/>
    <x v="0"/>
    <x v="1"/>
    <x v="8"/>
    <n v="43.33"/>
    <n v="216.64999999999998"/>
    <x v="122"/>
    <x v="120"/>
    <x v="0"/>
    <x v="0"/>
  </r>
  <r>
    <s v="ORD124"/>
    <x v="123"/>
    <s v="Customer_92"/>
    <x v="0"/>
    <x v="1"/>
    <x v="57"/>
    <x v="0"/>
    <x v="1"/>
    <x v="1"/>
    <n v="194.12"/>
    <n v="1552.96"/>
    <x v="123"/>
    <x v="121"/>
    <x v="0"/>
    <x v="1"/>
  </r>
  <r>
    <s v="ORD125"/>
    <x v="124"/>
    <s v="Customer_154"/>
    <x v="0"/>
    <x v="12"/>
    <x v="60"/>
    <x v="0"/>
    <x v="2"/>
    <x v="0"/>
    <n v="112.41"/>
    <n v="449.64"/>
    <x v="124"/>
    <x v="122"/>
    <x v="0"/>
    <x v="0"/>
  </r>
  <r>
    <s v="ORD126"/>
    <x v="125"/>
    <s v="Customer_103"/>
    <x v="0"/>
    <x v="15"/>
    <x v="52"/>
    <x v="0"/>
    <x v="1"/>
    <x v="0"/>
    <n v="37.18"/>
    <n v="148.72"/>
    <x v="125"/>
    <x v="123"/>
    <x v="0"/>
    <x v="2"/>
  </r>
  <r>
    <s v="ORD127"/>
    <x v="126"/>
    <s v="Customer_61"/>
    <x v="1"/>
    <x v="6"/>
    <x v="50"/>
    <x v="0"/>
    <x v="3"/>
    <x v="2"/>
    <n v="177.42"/>
    <n v="532.26"/>
    <x v="126"/>
    <x v="124"/>
    <x v="0"/>
    <x v="0"/>
  </r>
  <r>
    <s v="ORD128"/>
    <x v="127"/>
    <s v="Customer_178"/>
    <x v="1"/>
    <x v="6"/>
    <x v="22"/>
    <x v="0"/>
    <x v="2"/>
    <x v="5"/>
    <n v="198.36"/>
    <n v="198.36"/>
    <x v="127"/>
    <x v="125"/>
    <x v="0"/>
    <x v="2"/>
  </r>
  <r>
    <s v="ORD129"/>
    <x v="128"/>
    <s v="Customer_157"/>
    <x v="2"/>
    <x v="13"/>
    <x v="34"/>
    <x v="0"/>
    <x v="2"/>
    <x v="1"/>
    <n v="386.27"/>
    <n v="3090.16"/>
    <x v="128"/>
    <x v="126"/>
    <x v="1"/>
    <x v="1"/>
  </r>
  <r>
    <s v="ORD130"/>
    <x v="129"/>
    <s v="Customer_171"/>
    <x v="2"/>
    <x v="13"/>
    <x v="42"/>
    <x v="0"/>
    <x v="1"/>
    <x v="0"/>
    <n v="460.84"/>
    <n v="1843.36"/>
    <x v="129"/>
    <x v="127"/>
    <x v="1"/>
    <x v="0"/>
  </r>
  <r>
    <s v="ORD131"/>
    <x v="130"/>
    <s v="Customer_14"/>
    <x v="0"/>
    <x v="15"/>
    <x v="49"/>
    <x v="0"/>
    <x v="1"/>
    <x v="2"/>
    <n v="130.53"/>
    <n v="391.59000000000003"/>
    <x v="130"/>
    <x v="128"/>
    <x v="0"/>
    <x v="2"/>
  </r>
  <r>
    <s v="ORD132"/>
    <x v="131"/>
    <s v="Customer_4"/>
    <x v="4"/>
    <x v="8"/>
    <x v="61"/>
    <x v="0"/>
    <x v="3"/>
    <x v="9"/>
    <n v="234.91"/>
    <n v="469.82"/>
    <x v="131"/>
    <x v="129"/>
    <x v="0"/>
    <x v="2"/>
  </r>
  <r>
    <s v="ORD133"/>
    <x v="132"/>
    <s v="Customer_104"/>
    <x v="2"/>
    <x v="3"/>
    <x v="35"/>
    <x v="0"/>
    <x v="0"/>
    <x v="7"/>
    <n v="64.66"/>
    <n v="387.96"/>
    <x v="132"/>
    <x v="130"/>
    <x v="0"/>
    <x v="1"/>
  </r>
  <r>
    <s v="ORD134"/>
    <x v="133"/>
    <s v="Customer_179"/>
    <x v="2"/>
    <x v="3"/>
    <x v="4"/>
    <x v="0"/>
    <x v="1"/>
    <x v="6"/>
    <n v="255.64"/>
    <n v="2300.7599999999998"/>
    <x v="133"/>
    <x v="131"/>
    <x v="1"/>
    <x v="2"/>
  </r>
  <r>
    <s v="ORD135"/>
    <x v="134"/>
    <s v="Customer_62"/>
    <x v="2"/>
    <x v="3"/>
    <x v="35"/>
    <x v="0"/>
    <x v="2"/>
    <x v="7"/>
    <n v="102.62"/>
    <n v="615.72"/>
    <x v="134"/>
    <x v="132"/>
    <x v="0"/>
    <x v="2"/>
  </r>
  <r>
    <s v="ORD136"/>
    <x v="135"/>
    <s v="Customer_199"/>
    <x v="1"/>
    <x v="14"/>
    <x v="58"/>
    <x v="0"/>
    <x v="2"/>
    <x v="1"/>
    <n v="88.69"/>
    <n v="709.52"/>
    <x v="135"/>
    <x v="133"/>
    <x v="0"/>
    <x v="1"/>
  </r>
  <r>
    <s v="ORD137"/>
    <x v="136"/>
    <s v="Customer_151"/>
    <x v="1"/>
    <x v="2"/>
    <x v="39"/>
    <x v="0"/>
    <x v="3"/>
    <x v="3"/>
    <n v="440.02"/>
    <n v="4400.2"/>
    <x v="136"/>
    <x v="134"/>
    <x v="1"/>
    <x v="0"/>
  </r>
  <r>
    <s v="ORD138"/>
    <x v="137"/>
    <s v="Customer_144"/>
    <x v="2"/>
    <x v="13"/>
    <x v="62"/>
    <x v="0"/>
    <x v="2"/>
    <x v="1"/>
    <n v="285.81"/>
    <n v="2286.48"/>
    <x v="137"/>
    <x v="135"/>
    <x v="1"/>
    <x v="2"/>
  </r>
  <r>
    <s v="ORD139"/>
    <x v="138"/>
    <s v="Customer_97"/>
    <x v="2"/>
    <x v="3"/>
    <x v="17"/>
    <x v="0"/>
    <x v="0"/>
    <x v="3"/>
    <n v="177.07"/>
    <n v="1770.6999999999998"/>
    <x v="138"/>
    <x v="136"/>
    <x v="1"/>
    <x v="1"/>
  </r>
  <r>
    <s v="ORD140"/>
    <x v="139"/>
    <s v="Customer_95"/>
    <x v="0"/>
    <x v="9"/>
    <x v="14"/>
    <x v="0"/>
    <x v="0"/>
    <x v="3"/>
    <n v="466.3"/>
    <n v="4663"/>
    <x v="139"/>
    <x v="137"/>
    <x v="1"/>
    <x v="1"/>
  </r>
  <r>
    <s v="ORD141"/>
    <x v="140"/>
    <s v="Customer_180"/>
    <x v="1"/>
    <x v="6"/>
    <x v="50"/>
    <x v="0"/>
    <x v="3"/>
    <x v="6"/>
    <n v="465.1"/>
    <n v="4185.9000000000005"/>
    <x v="140"/>
    <x v="138"/>
    <x v="1"/>
    <x v="1"/>
  </r>
  <r>
    <s v="ORD142"/>
    <x v="141"/>
    <s v="Customer_116"/>
    <x v="1"/>
    <x v="2"/>
    <x v="33"/>
    <x v="0"/>
    <x v="2"/>
    <x v="3"/>
    <n v="255.98"/>
    <n v="2559.7999999999997"/>
    <x v="141"/>
    <x v="139"/>
    <x v="1"/>
    <x v="1"/>
  </r>
  <r>
    <s v="ORD143"/>
    <x v="142"/>
    <s v="Customer_69"/>
    <x v="1"/>
    <x v="14"/>
    <x v="63"/>
    <x v="0"/>
    <x v="2"/>
    <x v="8"/>
    <n v="369.49"/>
    <n v="1847.45"/>
    <x v="142"/>
    <x v="140"/>
    <x v="1"/>
    <x v="0"/>
  </r>
  <r>
    <s v="ORD144"/>
    <x v="143"/>
    <s v="Customer_87"/>
    <x v="0"/>
    <x v="12"/>
    <x v="60"/>
    <x v="0"/>
    <x v="0"/>
    <x v="1"/>
    <n v="113.07"/>
    <n v="904.56"/>
    <x v="143"/>
    <x v="141"/>
    <x v="0"/>
    <x v="2"/>
  </r>
  <r>
    <s v="ORD145"/>
    <x v="144"/>
    <s v="Customer_130"/>
    <x v="0"/>
    <x v="9"/>
    <x v="16"/>
    <x v="0"/>
    <x v="1"/>
    <x v="7"/>
    <n v="64.87"/>
    <n v="389.22"/>
    <x v="144"/>
    <x v="142"/>
    <x v="0"/>
    <x v="1"/>
  </r>
  <r>
    <s v="ORD146"/>
    <x v="145"/>
    <s v="Customer_185"/>
    <x v="4"/>
    <x v="5"/>
    <x v="59"/>
    <x v="0"/>
    <x v="2"/>
    <x v="4"/>
    <n v="26.88"/>
    <n v="188.16"/>
    <x v="145"/>
    <x v="143"/>
    <x v="0"/>
    <x v="2"/>
  </r>
  <r>
    <s v="ORD147"/>
    <x v="146"/>
    <s v="Customer_129"/>
    <x v="0"/>
    <x v="0"/>
    <x v="0"/>
    <x v="0"/>
    <x v="1"/>
    <x v="6"/>
    <n v="384.94"/>
    <n v="3464.46"/>
    <x v="146"/>
    <x v="144"/>
    <x v="1"/>
    <x v="1"/>
  </r>
  <r>
    <s v="ORD148"/>
    <x v="147"/>
    <s v="Customer_83"/>
    <x v="1"/>
    <x v="6"/>
    <x v="9"/>
    <x v="0"/>
    <x v="3"/>
    <x v="7"/>
    <n v="363.72"/>
    <n v="2182.3200000000002"/>
    <x v="147"/>
    <x v="145"/>
    <x v="1"/>
    <x v="1"/>
  </r>
  <r>
    <s v="ORD149"/>
    <x v="148"/>
    <s v="Customer_108"/>
    <x v="0"/>
    <x v="1"/>
    <x v="1"/>
    <x v="0"/>
    <x v="1"/>
    <x v="4"/>
    <n v="294.47000000000003"/>
    <n v="2061.29"/>
    <x v="148"/>
    <x v="146"/>
    <x v="1"/>
    <x v="2"/>
  </r>
  <r>
    <s v="ORD150"/>
    <x v="149"/>
    <s v="Customer_107"/>
    <x v="2"/>
    <x v="11"/>
    <x v="64"/>
    <x v="0"/>
    <x v="3"/>
    <x v="5"/>
    <n v="414.86"/>
    <n v="414.86"/>
    <x v="149"/>
    <x v="147"/>
    <x v="0"/>
    <x v="1"/>
  </r>
  <r>
    <s v="ORD151"/>
    <x v="150"/>
    <s v="Customer_87"/>
    <x v="1"/>
    <x v="2"/>
    <x v="33"/>
    <x v="0"/>
    <x v="0"/>
    <x v="2"/>
    <n v="375.22"/>
    <n v="1125.6600000000001"/>
    <x v="150"/>
    <x v="148"/>
    <x v="0"/>
    <x v="1"/>
  </r>
  <r>
    <s v="ORD152"/>
    <x v="151"/>
    <s v="Customer_174"/>
    <x v="0"/>
    <x v="12"/>
    <x v="65"/>
    <x v="0"/>
    <x v="3"/>
    <x v="6"/>
    <n v="101.64"/>
    <n v="914.76"/>
    <x v="151"/>
    <x v="149"/>
    <x v="0"/>
    <x v="0"/>
  </r>
  <r>
    <s v="ORD153"/>
    <x v="152"/>
    <s v="Customer_68"/>
    <x v="1"/>
    <x v="7"/>
    <x v="11"/>
    <x v="0"/>
    <x v="1"/>
    <x v="4"/>
    <n v="234.97"/>
    <n v="1644.79"/>
    <x v="152"/>
    <x v="150"/>
    <x v="1"/>
    <x v="1"/>
  </r>
  <r>
    <s v="ORD154"/>
    <x v="153"/>
    <s v="Customer_17"/>
    <x v="0"/>
    <x v="12"/>
    <x v="21"/>
    <x v="0"/>
    <x v="3"/>
    <x v="4"/>
    <n v="298.35000000000002"/>
    <n v="2088.4500000000003"/>
    <x v="153"/>
    <x v="151"/>
    <x v="1"/>
    <x v="2"/>
  </r>
  <r>
    <s v="ORD155"/>
    <x v="154"/>
    <s v="Customer_138"/>
    <x v="4"/>
    <x v="5"/>
    <x v="8"/>
    <x v="0"/>
    <x v="1"/>
    <x v="1"/>
    <n v="488.16"/>
    <n v="3905.28"/>
    <x v="154"/>
    <x v="152"/>
    <x v="1"/>
    <x v="0"/>
  </r>
  <r>
    <s v="ORD156"/>
    <x v="155"/>
    <s v="Customer_53"/>
    <x v="0"/>
    <x v="12"/>
    <x v="24"/>
    <x v="0"/>
    <x v="3"/>
    <x v="5"/>
    <n v="249.24"/>
    <n v="249.24"/>
    <x v="155"/>
    <x v="153"/>
    <x v="0"/>
    <x v="2"/>
  </r>
  <r>
    <s v="ORD157"/>
    <x v="156"/>
    <s v="Customer_81"/>
    <x v="4"/>
    <x v="10"/>
    <x v="66"/>
    <x v="0"/>
    <x v="0"/>
    <x v="5"/>
    <n v="96.11"/>
    <n v="96.11"/>
    <x v="156"/>
    <x v="154"/>
    <x v="0"/>
    <x v="2"/>
  </r>
  <r>
    <s v="ORD158"/>
    <x v="157"/>
    <s v="Customer_31"/>
    <x v="0"/>
    <x v="0"/>
    <x v="0"/>
    <x v="0"/>
    <x v="0"/>
    <x v="3"/>
    <n v="102.82"/>
    <n v="1028.1999999999998"/>
    <x v="157"/>
    <x v="155"/>
    <x v="0"/>
    <x v="0"/>
  </r>
  <r>
    <s v="ORD159"/>
    <x v="158"/>
    <s v="Customer_152"/>
    <x v="4"/>
    <x v="10"/>
    <x v="66"/>
    <x v="0"/>
    <x v="2"/>
    <x v="1"/>
    <n v="191.05"/>
    <n v="1528.4"/>
    <x v="158"/>
    <x v="156"/>
    <x v="0"/>
    <x v="2"/>
  </r>
  <r>
    <s v="ORD160"/>
    <x v="159"/>
    <s v="Customer_79"/>
    <x v="0"/>
    <x v="12"/>
    <x v="21"/>
    <x v="0"/>
    <x v="0"/>
    <x v="3"/>
    <n v="125.66"/>
    <n v="1256.5999999999999"/>
    <x v="159"/>
    <x v="157"/>
    <x v="0"/>
    <x v="2"/>
  </r>
  <r>
    <s v="ORD161"/>
    <x v="160"/>
    <s v="Customer_13"/>
    <x v="1"/>
    <x v="6"/>
    <x v="50"/>
    <x v="0"/>
    <x v="0"/>
    <x v="3"/>
    <n v="453.4"/>
    <n v="4534"/>
    <x v="160"/>
    <x v="158"/>
    <x v="1"/>
    <x v="1"/>
  </r>
  <r>
    <s v="ORD162"/>
    <x v="161"/>
    <s v="Customer_64"/>
    <x v="1"/>
    <x v="6"/>
    <x v="50"/>
    <x v="0"/>
    <x v="1"/>
    <x v="7"/>
    <n v="414.74"/>
    <n v="2488.44"/>
    <x v="161"/>
    <x v="159"/>
    <x v="1"/>
    <x v="0"/>
  </r>
  <r>
    <s v="ORD163"/>
    <x v="162"/>
    <s v="Customer_125"/>
    <x v="0"/>
    <x v="15"/>
    <x v="67"/>
    <x v="0"/>
    <x v="2"/>
    <x v="1"/>
    <n v="240.62"/>
    <n v="1924.96"/>
    <x v="162"/>
    <x v="160"/>
    <x v="1"/>
    <x v="0"/>
  </r>
  <r>
    <s v="ORD164"/>
    <x v="163"/>
    <s v="Customer_93"/>
    <x v="2"/>
    <x v="13"/>
    <x v="42"/>
    <x v="0"/>
    <x v="2"/>
    <x v="3"/>
    <n v="373.7"/>
    <n v="3737"/>
    <x v="163"/>
    <x v="161"/>
    <x v="1"/>
    <x v="2"/>
  </r>
  <r>
    <s v="ORD165"/>
    <x v="164"/>
    <s v="Customer_12"/>
    <x v="3"/>
    <x v="4"/>
    <x v="68"/>
    <x v="0"/>
    <x v="2"/>
    <x v="5"/>
    <n v="372.9"/>
    <n v="372.9"/>
    <x v="164"/>
    <x v="162"/>
    <x v="0"/>
    <x v="0"/>
  </r>
  <r>
    <s v="ORD166"/>
    <x v="165"/>
    <s v="Customer_130"/>
    <x v="2"/>
    <x v="13"/>
    <x v="42"/>
    <x v="0"/>
    <x v="0"/>
    <x v="7"/>
    <n v="482.29"/>
    <n v="2893.7400000000002"/>
    <x v="165"/>
    <x v="163"/>
    <x v="1"/>
    <x v="1"/>
  </r>
  <r>
    <s v="ORD167"/>
    <x v="166"/>
    <s v="Customer_115"/>
    <x v="0"/>
    <x v="9"/>
    <x v="36"/>
    <x v="0"/>
    <x v="0"/>
    <x v="2"/>
    <n v="310.06"/>
    <n v="930.18000000000006"/>
    <x v="166"/>
    <x v="164"/>
    <x v="0"/>
    <x v="2"/>
  </r>
  <r>
    <s v="ORD168"/>
    <x v="167"/>
    <s v="Customer_165"/>
    <x v="0"/>
    <x v="1"/>
    <x v="1"/>
    <x v="0"/>
    <x v="1"/>
    <x v="5"/>
    <n v="425.27"/>
    <n v="425.27"/>
    <x v="167"/>
    <x v="165"/>
    <x v="0"/>
    <x v="0"/>
  </r>
  <r>
    <s v="ORD169"/>
    <x v="168"/>
    <s v="Customer_6"/>
    <x v="1"/>
    <x v="7"/>
    <x v="11"/>
    <x v="0"/>
    <x v="2"/>
    <x v="7"/>
    <n v="498.37"/>
    <n v="2990.2200000000003"/>
    <x v="168"/>
    <x v="166"/>
    <x v="1"/>
    <x v="1"/>
  </r>
  <r>
    <s v="ORD170"/>
    <x v="169"/>
    <s v="Customer_58"/>
    <x v="3"/>
    <x v="4"/>
    <x v="40"/>
    <x v="0"/>
    <x v="3"/>
    <x v="9"/>
    <n v="298.12"/>
    <n v="596.24"/>
    <x v="169"/>
    <x v="167"/>
    <x v="0"/>
    <x v="0"/>
  </r>
  <r>
    <s v="ORD171"/>
    <x v="170"/>
    <s v="Customer_99"/>
    <x v="4"/>
    <x v="5"/>
    <x v="6"/>
    <x v="0"/>
    <x v="2"/>
    <x v="4"/>
    <n v="439.69"/>
    <n v="3077.83"/>
    <x v="170"/>
    <x v="168"/>
    <x v="1"/>
    <x v="2"/>
  </r>
  <r>
    <s v="ORD172"/>
    <x v="171"/>
    <s v="Customer_104"/>
    <x v="2"/>
    <x v="3"/>
    <x v="35"/>
    <x v="0"/>
    <x v="3"/>
    <x v="7"/>
    <n v="247.24"/>
    <n v="1483.44"/>
    <x v="171"/>
    <x v="169"/>
    <x v="0"/>
    <x v="1"/>
  </r>
  <r>
    <s v="ORD173"/>
    <x v="172"/>
    <s v="Customer_118"/>
    <x v="2"/>
    <x v="13"/>
    <x v="34"/>
    <x v="0"/>
    <x v="0"/>
    <x v="9"/>
    <n v="249.67"/>
    <n v="499.34"/>
    <x v="172"/>
    <x v="170"/>
    <x v="0"/>
    <x v="0"/>
  </r>
  <r>
    <s v="ORD174"/>
    <x v="173"/>
    <s v="Customer_175"/>
    <x v="4"/>
    <x v="10"/>
    <x v="69"/>
    <x v="0"/>
    <x v="2"/>
    <x v="2"/>
    <n v="68.97"/>
    <n v="206.91"/>
    <x v="173"/>
    <x v="171"/>
    <x v="0"/>
    <x v="1"/>
  </r>
  <r>
    <s v="ORD175"/>
    <x v="174"/>
    <s v="Customer_52"/>
    <x v="4"/>
    <x v="10"/>
    <x v="70"/>
    <x v="0"/>
    <x v="2"/>
    <x v="0"/>
    <n v="403.1"/>
    <n v="1612.4"/>
    <x v="174"/>
    <x v="172"/>
    <x v="1"/>
    <x v="2"/>
  </r>
  <r>
    <s v="ORD176"/>
    <x v="175"/>
    <s v="Customer_12"/>
    <x v="0"/>
    <x v="12"/>
    <x v="71"/>
    <x v="0"/>
    <x v="0"/>
    <x v="8"/>
    <n v="475.4"/>
    <n v="2377"/>
    <x v="175"/>
    <x v="173"/>
    <x v="1"/>
    <x v="1"/>
  </r>
  <r>
    <s v="ORD177"/>
    <x v="176"/>
    <s v="Customer_147"/>
    <x v="2"/>
    <x v="13"/>
    <x v="34"/>
    <x v="0"/>
    <x v="2"/>
    <x v="9"/>
    <n v="140.07"/>
    <n v="280.14"/>
    <x v="176"/>
    <x v="174"/>
    <x v="0"/>
    <x v="1"/>
  </r>
  <r>
    <s v="ORD178"/>
    <x v="177"/>
    <s v="Customer_5"/>
    <x v="1"/>
    <x v="6"/>
    <x v="7"/>
    <x v="0"/>
    <x v="0"/>
    <x v="5"/>
    <n v="156.57"/>
    <n v="156.57"/>
    <x v="177"/>
    <x v="175"/>
    <x v="0"/>
    <x v="0"/>
  </r>
  <r>
    <s v="ORD179"/>
    <x v="178"/>
    <s v="Customer_41"/>
    <x v="0"/>
    <x v="0"/>
    <x v="18"/>
    <x v="0"/>
    <x v="1"/>
    <x v="7"/>
    <n v="329.87"/>
    <n v="1979.22"/>
    <x v="178"/>
    <x v="176"/>
    <x v="1"/>
    <x v="1"/>
  </r>
  <r>
    <s v="ORD180"/>
    <x v="179"/>
    <s v="Customer_173"/>
    <x v="3"/>
    <x v="4"/>
    <x v="40"/>
    <x v="0"/>
    <x v="0"/>
    <x v="4"/>
    <n v="36.799999999999997"/>
    <n v="257.59999999999997"/>
    <x v="179"/>
    <x v="177"/>
    <x v="0"/>
    <x v="0"/>
  </r>
  <r>
    <s v="ORD181"/>
    <x v="180"/>
    <s v="Customer_132"/>
    <x v="4"/>
    <x v="10"/>
    <x v="15"/>
    <x v="0"/>
    <x v="0"/>
    <x v="2"/>
    <n v="427.6"/>
    <n v="1282.8000000000002"/>
    <x v="180"/>
    <x v="178"/>
    <x v="0"/>
    <x v="0"/>
  </r>
  <r>
    <s v="ORD182"/>
    <x v="181"/>
    <s v="Customer_9"/>
    <x v="4"/>
    <x v="8"/>
    <x v="72"/>
    <x v="0"/>
    <x v="1"/>
    <x v="3"/>
    <n v="69.06"/>
    <n v="690.6"/>
    <x v="181"/>
    <x v="179"/>
    <x v="0"/>
    <x v="2"/>
  </r>
  <r>
    <s v="ORD183"/>
    <x v="182"/>
    <s v="Customer_3"/>
    <x v="3"/>
    <x v="4"/>
    <x v="5"/>
    <x v="0"/>
    <x v="2"/>
    <x v="4"/>
    <n v="424.74"/>
    <n v="2973.1800000000003"/>
    <x v="182"/>
    <x v="180"/>
    <x v="1"/>
    <x v="2"/>
  </r>
  <r>
    <s v="ORD184"/>
    <x v="183"/>
    <s v="Customer_96"/>
    <x v="4"/>
    <x v="8"/>
    <x v="28"/>
    <x v="0"/>
    <x v="0"/>
    <x v="8"/>
    <n v="238.01"/>
    <n v="1190.05"/>
    <x v="183"/>
    <x v="181"/>
    <x v="0"/>
    <x v="2"/>
  </r>
  <r>
    <s v="ORD185"/>
    <x v="184"/>
    <s v="Customer_74"/>
    <x v="3"/>
    <x v="4"/>
    <x v="10"/>
    <x v="0"/>
    <x v="2"/>
    <x v="4"/>
    <n v="201.46"/>
    <n v="1410.22"/>
    <x v="184"/>
    <x v="182"/>
    <x v="0"/>
    <x v="0"/>
  </r>
  <r>
    <s v="ORD186"/>
    <x v="185"/>
    <s v="Customer_23"/>
    <x v="0"/>
    <x v="1"/>
    <x v="1"/>
    <x v="0"/>
    <x v="3"/>
    <x v="9"/>
    <n v="436.15"/>
    <n v="872.3"/>
    <x v="185"/>
    <x v="183"/>
    <x v="0"/>
    <x v="0"/>
  </r>
  <r>
    <s v="ORD187"/>
    <x v="186"/>
    <s v="Customer_146"/>
    <x v="0"/>
    <x v="0"/>
    <x v="20"/>
    <x v="0"/>
    <x v="3"/>
    <x v="8"/>
    <n v="357.1"/>
    <n v="1785.5"/>
    <x v="186"/>
    <x v="184"/>
    <x v="1"/>
    <x v="0"/>
  </r>
  <r>
    <s v="ORD188"/>
    <x v="187"/>
    <s v="Customer_10"/>
    <x v="2"/>
    <x v="13"/>
    <x v="56"/>
    <x v="0"/>
    <x v="0"/>
    <x v="4"/>
    <n v="242.76"/>
    <n v="1699.32"/>
    <x v="187"/>
    <x v="185"/>
    <x v="1"/>
    <x v="0"/>
  </r>
  <r>
    <s v="ORD189"/>
    <x v="188"/>
    <s v="Customer_93"/>
    <x v="1"/>
    <x v="2"/>
    <x v="2"/>
    <x v="0"/>
    <x v="1"/>
    <x v="4"/>
    <n v="165.03"/>
    <n v="1155.21"/>
    <x v="188"/>
    <x v="186"/>
    <x v="0"/>
    <x v="0"/>
  </r>
  <r>
    <s v="ORD190"/>
    <x v="189"/>
    <s v="Customer_110"/>
    <x v="1"/>
    <x v="7"/>
    <x v="27"/>
    <x v="0"/>
    <x v="0"/>
    <x v="7"/>
    <n v="91.17"/>
    <n v="547.02"/>
    <x v="189"/>
    <x v="187"/>
    <x v="0"/>
    <x v="1"/>
  </r>
  <r>
    <s v="ORD191"/>
    <x v="190"/>
    <s v="Customer_6"/>
    <x v="0"/>
    <x v="12"/>
    <x v="65"/>
    <x v="0"/>
    <x v="1"/>
    <x v="9"/>
    <n v="158.66"/>
    <n v="317.32"/>
    <x v="190"/>
    <x v="188"/>
    <x v="0"/>
    <x v="0"/>
  </r>
  <r>
    <s v="ORD192"/>
    <x v="191"/>
    <s v="Customer_45"/>
    <x v="1"/>
    <x v="2"/>
    <x v="25"/>
    <x v="0"/>
    <x v="0"/>
    <x v="3"/>
    <n v="133.62"/>
    <n v="1336.2"/>
    <x v="191"/>
    <x v="189"/>
    <x v="0"/>
    <x v="1"/>
  </r>
  <r>
    <s v="ORD193"/>
    <x v="192"/>
    <s v="Customer_53"/>
    <x v="1"/>
    <x v="6"/>
    <x v="73"/>
    <x v="0"/>
    <x v="0"/>
    <x v="2"/>
    <n v="245.2"/>
    <n v="735.59999999999991"/>
    <x v="192"/>
    <x v="190"/>
    <x v="0"/>
    <x v="0"/>
  </r>
  <r>
    <s v="ORD194"/>
    <x v="193"/>
    <s v="Customer_112"/>
    <x v="0"/>
    <x v="9"/>
    <x v="14"/>
    <x v="0"/>
    <x v="1"/>
    <x v="7"/>
    <n v="297.31"/>
    <n v="1783.8600000000001"/>
    <x v="193"/>
    <x v="191"/>
    <x v="1"/>
    <x v="0"/>
  </r>
  <r>
    <s v="ORD195"/>
    <x v="194"/>
    <s v="Customer_140"/>
    <x v="2"/>
    <x v="3"/>
    <x v="51"/>
    <x v="0"/>
    <x v="3"/>
    <x v="9"/>
    <n v="461.15"/>
    <n v="922.3"/>
    <x v="194"/>
    <x v="192"/>
    <x v="0"/>
    <x v="2"/>
  </r>
  <r>
    <s v="ORD196"/>
    <x v="195"/>
    <s v="Customer_147"/>
    <x v="2"/>
    <x v="11"/>
    <x v="19"/>
    <x v="0"/>
    <x v="2"/>
    <x v="5"/>
    <n v="212.99"/>
    <n v="212.99"/>
    <x v="195"/>
    <x v="193"/>
    <x v="0"/>
    <x v="0"/>
  </r>
  <r>
    <s v="ORD197"/>
    <x v="196"/>
    <s v="Customer_199"/>
    <x v="1"/>
    <x v="14"/>
    <x v="43"/>
    <x v="0"/>
    <x v="2"/>
    <x v="6"/>
    <n v="305.74"/>
    <n v="2751.66"/>
    <x v="196"/>
    <x v="194"/>
    <x v="1"/>
    <x v="1"/>
  </r>
  <r>
    <s v="ORD198"/>
    <x v="197"/>
    <s v="Customer_2"/>
    <x v="0"/>
    <x v="9"/>
    <x v="16"/>
    <x v="0"/>
    <x v="2"/>
    <x v="1"/>
    <n v="35.21"/>
    <n v="281.68"/>
    <x v="197"/>
    <x v="195"/>
    <x v="0"/>
    <x v="0"/>
  </r>
  <r>
    <s v="ORD199"/>
    <x v="198"/>
    <s v="Customer_46"/>
    <x v="0"/>
    <x v="0"/>
    <x v="18"/>
    <x v="0"/>
    <x v="0"/>
    <x v="3"/>
    <n v="458.73"/>
    <n v="4587.3"/>
    <x v="198"/>
    <x v="196"/>
    <x v="1"/>
    <x v="0"/>
  </r>
  <r>
    <s v="ORD200"/>
    <x v="199"/>
    <s v="Customer_15"/>
    <x v="4"/>
    <x v="8"/>
    <x v="30"/>
    <x v="0"/>
    <x v="1"/>
    <x v="8"/>
    <n v="40.72"/>
    <n v="203.6"/>
    <x v="199"/>
    <x v="197"/>
    <x v="0"/>
    <x v="2"/>
  </r>
  <r>
    <s v="ORD201"/>
    <x v="200"/>
    <s v="Customer_101"/>
    <x v="0"/>
    <x v="1"/>
    <x v="12"/>
    <x v="0"/>
    <x v="1"/>
    <x v="5"/>
    <n v="380.89"/>
    <n v="380.89"/>
    <x v="200"/>
    <x v="198"/>
    <x v="0"/>
    <x v="1"/>
  </r>
  <r>
    <s v="ORD202"/>
    <x v="201"/>
    <s v="Customer_76"/>
    <x v="0"/>
    <x v="0"/>
    <x v="3"/>
    <x v="0"/>
    <x v="1"/>
    <x v="5"/>
    <n v="91.4"/>
    <n v="91.4"/>
    <x v="201"/>
    <x v="199"/>
    <x v="0"/>
    <x v="1"/>
  </r>
  <r>
    <s v="ORD203"/>
    <x v="202"/>
    <s v="Customer_163"/>
    <x v="3"/>
    <x v="4"/>
    <x v="68"/>
    <x v="0"/>
    <x v="1"/>
    <x v="6"/>
    <n v="99.15"/>
    <n v="892.35"/>
    <x v="202"/>
    <x v="200"/>
    <x v="0"/>
    <x v="0"/>
  </r>
  <r>
    <s v="ORD204"/>
    <x v="203"/>
    <s v="Customer_14"/>
    <x v="0"/>
    <x v="9"/>
    <x v="46"/>
    <x v="0"/>
    <x v="2"/>
    <x v="9"/>
    <n v="325.36"/>
    <n v="650.72"/>
    <x v="203"/>
    <x v="201"/>
    <x v="0"/>
    <x v="2"/>
  </r>
  <r>
    <s v="ORD205"/>
    <x v="204"/>
    <s v="Customer_41"/>
    <x v="0"/>
    <x v="0"/>
    <x v="20"/>
    <x v="0"/>
    <x v="1"/>
    <x v="0"/>
    <n v="69.13"/>
    <n v="276.52"/>
    <x v="204"/>
    <x v="202"/>
    <x v="0"/>
    <x v="1"/>
  </r>
  <r>
    <s v="ORD206"/>
    <x v="205"/>
    <s v="Customer_94"/>
    <x v="1"/>
    <x v="6"/>
    <x v="50"/>
    <x v="0"/>
    <x v="3"/>
    <x v="0"/>
    <n v="469.24"/>
    <n v="1876.96"/>
    <x v="205"/>
    <x v="203"/>
    <x v="1"/>
    <x v="0"/>
  </r>
  <r>
    <s v="ORD207"/>
    <x v="206"/>
    <s v="Customer_170"/>
    <x v="2"/>
    <x v="13"/>
    <x v="56"/>
    <x v="0"/>
    <x v="0"/>
    <x v="1"/>
    <n v="89.07"/>
    <n v="712.56"/>
    <x v="206"/>
    <x v="204"/>
    <x v="0"/>
    <x v="0"/>
  </r>
  <r>
    <s v="ORD208"/>
    <x v="207"/>
    <s v="Customer_175"/>
    <x v="4"/>
    <x v="5"/>
    <x v="8"/>
    <x v="0"/>
    <x v="3"/>
    <x v="6"/>
    <n v="38.630000000000003"/>
    <n v="347.67"/>
    <x v="207"/>
    <x v="205"/>
    <x v="0"/>
    <x v="1"/>
  </r>
  <r>
    <s v="ORD209"/>
    <x v="208"/>
    <s v="Customer_80"/>
    <x v="1"/>
    <x v="6"/>
    <x v="50"/>
    <x v="0"/>
    <x v="1"/>
    <x v="3"/>
    <n v="257.04000000000002"/>
    <n v="2570.4"/>
    <x v="208"/>
    <x v="206"/>
    <x v="1"/>
    <x v="0"/>
  </r>
  <r>
    <s v="ORD210"/>
    <x v="209"/>
    <s v="Customer_158"/>
    <x v="3"/>
    <x v="4"/>
    <x v="5"/>
    <x v="0"/>
    <x v="0"/>
    <x v="4"/>
    <n v="349.23"/>
    <n v="2444.61"/>
    <x v="209"/>
    <x v="207"/>
    <x v="1"/>
    <x v="0"/>
  </r>
  <r>
    <s v="ORD211"/>
    <x v="210"/>
    <s v="Customer_45"/>
    <x v="0"/>
    <x v="9"/>
    <x v="74"/>
    <x v="0"/>
    <x v="3"/>
    <x v="5"/>
    <n v="143.66"/>
    <n v="143.66"/>
    <x v="210"/>
    <x v="208"/>
    <x v="0"/>
    <x v="0"/>
  </r>
  <r>
    <s v="ORD212"/>
    <x v="211"/>
    <s v="Customer_91"/>
    <x v="0"/>
    <x v="9"/>
    <x v="16"/>
    <x v="0"/>
    <x v="2"/>
    <x v="6"/>
    <n v="444.33"/>
    <n v="3998.97"/>
    <x v="211"/>
    <x v="209"/>
    <x v="1"/>
    <x v="1"/>
  </r>
  <r>
    <s v="ORD213"/>
    <x v="212"/>
    <s v="Customer_129"/>
    <x v="0"/>
    <x v="12"/>
    <x v="21"/>
    <x v="0"/>
    <x v="0"/>
    <x v="6"/>
    <n v="263.68"/>
    <n v="2373.12"/>
    <x v="212"/>
    <x v="210"/>
    <x v="1"/>
    <x v="2"/>
  </r>
  <r>
    <s v="ORD214"/>
    <x v="213"/>
    <s v="Customer_191"/>
    <x v="0"/>
    <x v="12"/>
    <x v="60"/>
    <x v="0"/>
    <x v="2"/>
    <x v="1"/>
    <n v="411.34"/>
    <n v="3290.72"/>
    <x v="213"/>
    <x v="211"/>
    <x v="1"/>
    <x v="2"/>
  </r>
  <r>
    <s v="ORD215"/>
    <x v="214"/>
    <s v="Customer_15"/>
    <x v="0"/>
    <x v="9"/>
    <x v="46"/>
    <x v="0"/>
    <x v="0"/>
    <x v="3"/>
    <n v="337.13"/>
    <n v="3371.3"/>
    <x v="214"/>
    <x v="212"/>
    <x v="1"/>
    <x v="1"/>
  </r>
  <r>
    <s v="ORD216"/>
    <x v="215"/>
    <s v="Customer_194"/>
    <x v="0"/>
    <x v="12"/>
    <x v="21"/>
    <x v="0"/>
    <x v="0"/>
    <x v="0"/>
    <n v="323.24"/>
    <n v="1292.96"/>
    <x v="215"/>
    <x v="213"/>
    <x v="0"/>
    <x v="0"/>
  </r>
  <r>
    <s v="ORD217"/>
    <x v="216"/>
    <s v="Customer_9"/>
    <x v="4"/>
    <x v="10"/>
    <x v="15"/>
    <x v="0"/>
    <x v="3"/>
    <x v="7"/>
    <n v="447.52"/>
    <n v="2685.12"/>
    <x v="216"/>
    <x v="214"/>
    <x v="1"/>
    <x v="2"/>
  </r>
  <r>
    <s v="ORD218"/>
    <x v="217"/>
    <s v="Customer_190"/>
    <x v="3"/>
    <x v="4"/>
    <x v="55"/>
    <x v="0"/>
    <x v="2"/>
    <x v="0"/>
    <n v="477.72"/>
    <n v="1910.88"/>
    <x v="217"/>
    <x v="215"/>
    <x v="1"/>
    <x v="0"/>
  </r>
  <r>
    <s v="ORD219"/>
    <x v="218"/>
    <s v="Customer_151"/>
    <x v="4"/>
    <x v="8"/>
    <x v="30"/>
    <x v="0"/>
    <x v="3"/>
    <x v="0"/>
    <n v="459.59"/>
    <n v="1838.36"/>
    <x v="218"/>
    <x v="216"/>
    <x v="1"/>
    <x v="0"/>
  </r>
  <r>
    <s v="ORD220"/>
    <x v="219"/>
    <s v="Customer_131"/>
    <x v="0"/>
    <x v="12"/>
    <x v="60"/>
    <x v="0"/>
    <x v="3"/>
    <x v="6"/>
    <n v="291.38"/>
    <n v="2622.42"/>
    <x v="219"/>
    <x v="217"/>
    <x v="1"/>
    <x v="2"/>
  </r>
  <r>
    <s v="ORD221"/>
    <x v="220"/>
    <s v="Customer_79"/>
    <x v="4"/>
    <x v="5"/>
    <x v="75"/>
    <x v="0"/>
    <x v="3"/>
    <x v="8"/>
    <n v="262.58"/>
    <n v="1312.8999999999999"/>
    <x v="220"/>
    <x v="218"/>
    <x v="0"/>
    <x v="1"/>
  </r>
  <r>
    <s v="ORD222"/>
    <x v="221"/>
    <s v="Customer_155"/>
    <x v="0"/>
    <x v="12"/>
    <x v="65"/>
    <x v="0"/>
    <x v="0"/>
    <x v="3"/>
    <n v="253.82"/>
    <n v="2538.1999999999998"/>
    <x v="221"/>
    <x v="219"/>
    <x v="1"/>
    <x v="1"/>
  </r>
  <r>
    <s v="ORD223"/>
    <x v="222"/>
    <s v="Customer_149"/>
    <x v="3"/>
    <x v="4"/>
    <x v="40"/>
    <x v="0"/>
    <x v="1"/>
    <x v="7"/>
    <n v="27.01"/>
    <n v="162.06"/>
    <x v="222"/>
    <x v="220"/>
    <x v="0"/>
    <x v="0"/>
  </r>
  <r>
    <s v="ORD224"/>
    <x v="223"/>
    <s v="Customer_58"/>
    <x v="0"/>
    <x v="9"/>
    <x v="46"/>
    <x v="0"/>
    <x v="1"/>
    <x v="1"/>
    <n v="352.29"/>
    <n v="2818.32"/>
    <x v="223"/>
    <x v="221"/>
    <x v="1"/>
    <x v="0"/>
  </r>
  <r>
    <s v="ORD225"/>
    <x v="224"/>
    <s v="Customer_29"/>
    <x v="1"/>
    <x v="7"/>
    <x v="31"/>
    <x v="0"/>
    <x v="2"/>
    <x v="2"/>
    <n v="222.18"/>
    <n v="666.54"/>
    <x v="224"/>
    <x v="222"/>
    <x v="0"/>
    <x v="2"/>
  </r>
  <r>
    <s v="ORD226"/>
    <x v="225"/>
    <s v="Customer_159"/>
    <x v="1"/>
    <x v="6"/>
    <x v="9"/>
    <x v="0"/>
    <x v="1"/>
    <x v="5"/>
    <n v="366.22"/>
    <n v="366.22"/>
    <x v="225"/>
    <x v="223"/>
    <x v="0"/>
    <x v="0"/>
  </r>
  <r>
    <s v="ORD227"/>
    <x v="226"/>
    <s v="Customer_161"/>
    <x v="0"/>
    <x v="15"/>
    <x v="52"/>
    <x v="0"/>
    <x v="2"/>
    <x v="0"/>
    <n v="449.27"/>
    <n v="1797.08"/>
    <x v="226"/>
    <x v="224"/>
    <x v="1"/>
    <x v="2"/>
  </r>
  <r>
    <s v="ORD228"/>
    <x v="227"/>
    <s v="Customer_83"/>
    <x v="2"/>
    <x v="3"/>
    <x v="51"/>
    <x v="0"/>
    <x v="0"/>
    <x v="6"/>
    <n v="180.04"/>
    <n v="1620.36"/>
    <x v="227"/>
    <x v="225"/>
    <x v="1"/>
    <x v="0"/>
  </r>
  <r>
    <s v="ORD229"/>
    <x v="228"/>
    <s v="Customer_149"/>
    <x v="0"/>
    <x v="9"/>
    <x v="16"/>
    <x v="0"/>
    <x v="1"/>
    <x v="5"/>
    <n v="430.67"/>
    <n v="430.67"/>
    <x v="228"/>
    <x v="226"/>
    <x v="0"/>
    <x v="2"/>
  </r>
  <r>
    <s v="ORD230"/>
    <x v="229"/>
    <s v="Customer_113"/>
    <x v="1"/>
    <x v="2"/>
    <x v="33"/>
    <x v="0"/>
    <x v="3"/>
    <x v="8"/>
    <n v="184.5"/>
    <n v="922.5"/>
    <x v="229"/>
    <x v="227"/>
    <x v="0"/>
    <x v="0"/>
  </r>
  <r>
    <s v="ORD231"/>
    <x v="230"/>
    <s v="Customer_7"/>
    <x v="1"/>
    <x v="2"/>
    <x v="2"/>
    <x v="0"/>
    <x v="0"/>
    <x v="3"/>
    <n v="204.17"/>
    <n v="2041.6999999999998"/>
    <x v="230"/>
    <x v="228"/>
    <x v="1"/>
    <x v="1"/>
  </r>
  <r>
    <s v="ORD232"/>
    <x v="231"/>
    <s v="Customer_114"/>
    <x v="4"/>
    <x v="10"/>
    <x v="70"/>
    <x v="0"/>
    <x v="0"/>
    <x v="9"/>
    <n v="355.12"/>
    <n v="710.24"/>
    <x v="231"/>
    <x v="229"/>
    <x v="0"/>
    <x v="1"/>
  </r>
  <r>
    <s v="ORD233"/>
    <x v="232"/>
    <s v="Customer_141"/>
    <x v="2"/>
    <x v="13"/>
    <x v="23"/>
    <x v="0"/>
    <x v="0"/>
    <x v="8"/>
    <n v="462.06"/>
    <n v="2310.3000000000002"/>
    <x v="232"/>
    <x v="230"/>
    <x v="1"/>
    <x v="1"/>
  </r>
  <r>
    <s v="ORD234"/>
    <x v="233"/>
    <s v="Customer_57"/>
    <x v="0"/>
    <x v="15"/>
    <x v="49"/>
    <x v="0"/>
    <x v="2"/>
    <x v="1"/>
    <n v="198.2"/>
    <n v="1585.6"/>
    <x v="233"/>
    <x v="231"/>
    <x v="1"/>
    <x v="2"/>
  </r>
  <r>
    <s v="ORD235"/>
    <x v="234"/>
    <s v="Customer_17"/>
    <x v="2"/>
    <x v="3"/>
    <x v="17"/>
    <x v="0"/>
    <x v="0"/>
    <x v="5"/>
    <n v="498.47"/>
    <n v="498.47"/>
    <x v="234"/>
    <x v="232"/>
    <x v="0"/>
    <x v="1"/>
  </r>
  <r>
    <s v="ORD236"/>
    <x v="235"/>
    <s v="Customer_198"/>
    <x v="3"/>
    <x v="4"/>
    <x v="40"/>
    <x v="0"/>
    <x v="0"/>
    <x v="4"/>
    <n v="158.21"/>
    <n v="1107.47"/>
    <x v="235"/>
    <x v="233"/>
    <x v="0"/>
    <x v="0"/>
  </r>
  <r>
    <s v="ORD237"/>
    <x v="236"/>
    <s v="Customer_2"/>
    <x v="1"/>
    <x v="6"/>
    <x v="73"/>
    <x v="0"/>
    <x v="2"/>
    <x v="6"/>
    <n v="65.75"/>
    <n v="591.75"/>
    <x v="236"/>
    <x v="234"/>
    <x v="0"/>
    <x v="2"/>
  </r>
  <r>
    <s v="ORD238"/>
    <x v="237"/>
    <s v="Customer_71"/>
    <x v="0"/>
    <x v="15"/>
    <x v="37"/>
    <x v="0"/>
    <x v="2"/>
    <x v="9"/>
    <n v="441.56"/>
    <n v="883.12"/>
    <x v="237"/>
    <x v="235"/>
    <x v="0"/>
    <x v="1"/>
  </r>
  <r>
    <s v="ORD239"/>
    <x v="238"/>
    <s v="Customer_173"/>
    <x v="1"/>
    <x v="2"/>
    <x v="2"/>
    <x v="0"/>
    <x v="2"/>
    <x v="6"/>
    <n v="317.72000000000003"/>
    <n v="2859.4800000000005"/>
    <x v="238"/>
    <x v="236"/>
    <x v="1"/>
    <x v="1"/>
  </r>
  <r>
    <s v="ORD240"/>
    <x v="239"/>
    <s v="Customer_91"/>
    <x v="4"/>
    <x v="5"/>
    <x v="6"/>
    <x v="0"/>
    <x v="0"/>
    <x v="8"/>
    <n v="362.83"/>
    <n v="1814.1499999999999"/>
    <x v="239"/>
    <x v="237"/>
    <x v="1"/>
    <x v="0"/>
  </r>
  <r>
    <s v="ORD241"/>
    <x v="240"/>
    <s v="Customer_121"/>
    <x v="3"/>
    <x v="4"/>
    <x v="10"/>
    <x v="0"/>
    <x v="3"/>
    <x v="6"/>
    <n v="123.38"/>
    <n v="1110.42"/>
    <x v="240"/>
    <x v="238"/>
    <x v="0"/>
    <x v="2"/>
  </r>
  <r>
    <s v="ORD242"/>
    <x v="241"/>
    <s v="Customer_166"/>
    <x v="4"/>
    <x v="8"/>
    <x v="30"/>
    <x v="0"/>
    <x v="0"/>
    <x v="6"/>
    <n v="492.06"/>
    <n v="4428.54"/>
    <x v="241"/>
    <x v="239"/>
    <x v="1"/>
    <x v="2"/>
  </r>
  <r>
    <s v="ORD243"/>
    <x v="242"/>
    <s v="Customer_153"/>
    <x v="1"/>
    <x v="7"/>
    <x v="45"/>
    <x v="0"/>
    <x v="1"/>
    <x v="0"/>
    <n v="68.31"/>
    <n v="273.24"/>
    <x v="242"/>
    <x v="240"/>
    <x v="0"/>
    <x v="0"/>
  </r>
  <r>
    <s v="ORD244"/>
    <x v="243"/>
    <s v="Customer_167"/>
    <x v="1"/>
    <x v="2"/>
    <x v="25"/>
    <x v="0"/>
    <x v="0"/>
    <x v="9"/>
    <n v="264.08999999999997"/>
    <n v="528.17999999999995"/>
    <x v="243"/>
    <x v="241"/>
    <x v="0"/>
    <x v="2"/>
  </r>
  <r>
    <s v="ORD245"/>
    <x v="244"/>
    <s v="Customer_9"/>
    <x v="1"/>
    <x v="7"/>
    <x v="38"/>
    <x v="0"/>
    <x v="0"/>
    <x v="4"/>
    <n v="239.11"/>
    <n v="1673.77"/>
    <x v="244"/>
    <x v="242"/>
    <x v="1"/>
    <x v="0"/>
  </r>
  <r>
    <s v="ORD246"/>
    <x v="245"/>
    <s v="Customer_152"/>
    <x v="1"/>
    <x v="7"/>
    <x v="11"/>
    <x v="0"/>
    <x v="3"/>
    <x v="7"/>
    <n v="97.44"/>
    <n v="584.64"/>
    <x v="245"/>
    <x v="243"/>
    <x v="0"/>
    <x v="2"/>
  </r>
  <r>
    <s v="ORD247"/>
    <x v="246"/>
    <s v="Customer_138"/>
    <x v="0"/>
    <x v="9"/>
    <x v="46"/>
    <x v="0"/>
    <x v="2"/>
    <x v="0"/>
    <n v="74.22"/>
    <n v="296.88"/>
    <x v="246"/>
    <x v="244"/>
    <x v="0"/>
    <x v="1"/>
  </r>
  <r>
    <s v="ORD248"/>
    <x v="247"/>
    <s v="Customer_113"/>
    <x v="3"/>
    <x v="4"/>
    <x v="40"/>
    <x v="0"/>
    <x v="2"/>
    <x v="0"/>
    <n v="146.28"/>
    <n v="585.12"/>
    <x v="247"/>
    <x v="245"/>
    <x v="0"/>
    <x v="0"/>
  </r>
  <r>
    <s v="ORD249"/>
    <x v="248"/>
    <s v="Customer_115"/>
    <x v="1"/>
    <x v="7"/>
    <x v="38"/>
    <x v="0"/>
    <x v="0"/>
    <x v="6"/>
    <n v="198.92"/>
    <n v="1790.28"/>
    <x v="248"/>
    <x v="246"/>
    <x v="1"/>
    <x v="2"/>
  </r>
  <r>
    <s v="ORD250"/>
    <x v="249"/>
    <s v="Customer_91"/>
    <x v="0"/>
    <x v="15"/>
    <x v="37"/>
    <x v="0"/>
    <x v="2"/>
    <x v="7"/>
    <n v="54.82"/>
    <n v="328.92"/>
    <x v="249"/>
    <x v="247"/>
    <x v="0"/>
    <x v="2"/>
  </r>
  <r>
    <s v="ORD251"/>
    <x v="250"/>
    <s v="Customer_133"/>
    <x v="0"/>
    <x v="1"/>
    <x v="1"/>
    <x v="0"/>
    <x v="2"/>
    <x v="7"/>
    <n v="41.93"/>
    <n v="251.57999999999998"/>
    <x v="250"/>
    <x v="248"/>
    <x v="0"/>
    <x v="1"/>
  </r>
  <r>
    <s v="ORD252"/>
    <x v="251"/>
    <s v="Customer_157"/>
    <x v="0"/>
    <x v="1"/>
    <x v="32"/>
    <x v="0"/>
    <x v="1"/>
    <x v="6"/>
    <n v="361.43"/>
    <n v="3252.87"/>
    <x v="251"/>
    <x v="249"/>
    <x v="1"/>
    <x v="0"/>
  </r>
  <r>
    <s v="ORD253"/>
    <x v="252"/>
    <s v="Customer_8"/>
    <x v="0"/>
    <x v="15"/>
    <x v="52"/>
    <x v="0"/>
    <x v="2"/>
    <x v="9"/>
    <n v="21.3"/>
    <n v="42.6"/>
    <x v="252"/>
    <x v="250"/>
    <x v="0"/>
    <x v="2"/>
  </r>
  <r>
    <s v="ORD254"/>
    <x v="253"/>
    <s v="Customer_22"/>
    <x v="0"/>
    <x v="1"/>
    <x v="57"/>
    <x v="0"/>
    <x v="0"/>
    <x v="8"/>
    <n v="352.56"/>
    <n v="1762.8"/>
    <x v="253"/>
    <x v="251"/>
    <x v="1"/>
    <x v="1"/>
  </r>
  <r>
    <s v="ORD255"/>
    <x v="254"/>
    <s v="Customer_72"/>
    <x v="2"/>
    <x v="3"/>
    <x v="51"/>
    <x v="0"/>
    <x v="1"/>
    <x v="8"/>
    <n v="174.66"/>
    <n v="873.3"/>
    <x v="254"/>
    <x v="252"/>
    <x v="0"/>
    <x v="1"/>
  </r>
  <r>
    <s v="ORD256"/>
    <x v="255"/>
    <s v="Customer_12"/>
    <x v="1"/>
    <x v="2"/>
    <x v="33"/>
    <x v="0"/>
    <x v="3"/>
    <x v="6"/>
    <n v="277.81"/>
    <n v="2500.29"/>
    <x v="255"/>
    <x v="253"/>
    <x v="1"/>
    <x v="2"/>
  </r>
  <r>
    <s v="ORD257"/>
    <x v="256"/>
    <s v="Customer_30"/>
    <x v="0"/>
    <x v="9"/>
    <x v="14"/>
    <x v="0"/>
    <x v="1"/>
    <x v="6"/>
    <n v="390.28"/>
    <n v="3512.5199999999995"/>
    <x v="256"/>
    <x v="254"/>
    <x v="1"/>
    <x v="1"/>
  </r>
  <r>
    <s v="ORD258"/>
    <x v="257"/>
    <s v="Customer_73"/>
    <x v="2"/>
    <x v="3"/>
    <x v="35"/>
    <x v="0"/>
    <x v="3"/>
    <x v="9"/>
    <n v="53.68"/>
    <n v="107.36"/>
    <x v="257"/>
    <x v="255"/>
    <x v="0"/>
    <x v="0"/>
  </r>
  <r>
    <s v="ORD259"/>
    <x v="258"/>
    <s v="Customer_141"/>
    <x v="4"/>
    <x v="10"/>
    <x v="15"/>
    <x v="0"/>
    <x v="1"/>
    <x v="0"/>
    <n v="114.46"/>
    <n v="457.84"/>
    <x v="258"/>
    <x v="256"/>
    <x v="0"/>
    <x v="2"/>
  </r>
  <r>
    <s v="ORD260"/>
    <x v="259"/>
    <s v="Customer_90"/>
    <x v="1"/>
    <x v="14"/>
    <x v="63"/>
    <x v="0"/>
    <x v="0"/>
    <x v="8"/>
    <n v="164.61"/>
    <n v="823.05000000000007"/>
    <x v="259"/>
    <x v="257"/>
    <x v="0"/>
    <x v="1"/>
  </r>
  <r>
    <s v="ORD261"/>
    <x v="260"/>
    <s v="Customer_7"/>
    <x v="1"/>
    <x v="6"/>
    <x v="22"/>
    <x v="0"/>
    <x v="1"/>
    <x v="7"/>
    <n v="150.31"/>
    <n v="901.86"/>
    <x v="260"/>
    <x v="258"/>
    <x v="0"/>
    <x v="0"/>
  </r>
  <r>
    <s v="ORD262"/>
    <x v="261"/>
    <s v="Customer_189"/>
    <x v="3"/>
    <x v="4"/>
    <x v="55"/>
    <x v="0"/>
    <x v="0"/>
    <x v="4"/>
    <n v="431.37"/>
    <n v="3019.59"/>
    <x v="261"/>
    <x v="259"/>
    <x v="1"/>
    <x v="2"/>
  </r>
  <r>
    <s v="ORD263"/>
    <x v="262"/>
    <s v="Customer_182"/>
    <x v="0"/>
    <x v="9"/>
    <x v="74"/>
    <x v="0"/>
    <x v="3"/>
    <x v="4"/>
    <n v="156.27000000000001"/>
    <n v="1093.8900000000001"/>
    <x v="262"/>
    <x v="260"/>
    <x v="0"/>
    <x v="2"/>
  </r>
  <r>
    <s v="ORD264"/>
    <x v="263"/>
    <s v="Customer_74"/>
    <x v="1"/>
    <x v="7"/>
    <x v="31"/>
    <x v="0"/>
    <x v="2"/>
    <x v="4"/>
    <n v="413.71"/>
    <n v="2895.97"/>
    <x v="263"/>
    <x v="261"/>
    <x v="1"/>
    <x v="2"/>
  </r>
  <r>
    <s v="ORD265"/>
    <x v="264"/>
    <s v="Customer_163"/>
    <x v="2"/>
    <x v="13"/>
    <x v="23"/>
    <x v="0"/>
    <x v="2"/>
    <x v="5"/>
    <n v="62.04"/>
    <n v="62.04"/>
    <x v="264"/>
    <x v="262"/>
    <x v="0"/>
    <x v="0"/>
  </r>
  <r>
    <s v="ORD266"/>
    <x v="265"/>
    <s v="Customer_112"/>
    <x v="3"/>
    <x v="4"/>
    <x v="55"/>
    <x v="0"/>
    <x v="1"/>
    <x v="8"/>
    <n v="192.08"/>
    <n v="960.40000000000009"/>
    <x v="265"/>
    <x v="263"/>
    <x v="0"/>
    <x v="0"/>
  </r>
  <r>
    <s v="ORD267"/>
    <x v="266"/>
    <s v="Customer_125"/>
    <x v="4"/>
    <x v="5"/>
    <x v="8"/>
    <x v="0"/>
    <x v="0"/>
    <x v="4"/>
    <n v="202.52"/>
    <n v="1417.64"/>
    <x v="266"/>
    <x v="264"/>
    <x v="0"/>
    <x v="0"/>
  </r>
  <r>
    <s v="ORD268"/>
    <x v="267"/>
    <s v="Customer_94"/>
    <x v="1"/>
    <x v="14"/>
    <x v="76"/>
    <x v="0"/>
    <x v="1"/>
    <x v="0"/>
    <n v="425.03"/>
    <n v="1700.12"/>
    <x v="267"/>
    <x v="265"/>
    <x v="1"/>
    <x v="1"/>
  </r>
  <r>
    <s v="ORD269"/>
    <x v="268"/>
    <s v="Customer_192"/>
    <x v="4"/>
    <x v="5"/>
    <x v="75"/>
    <x v="0"/>
    <x v="2"/>
    <x v="1"/>
    <n v="229.2"/>
    <n v="1833.6"/>
    <x v="268"/>
    <x v="266"/>
    <x v="1"/>
    <x v="1"/>
  </r>
  <r>
    <s v="ORD270"/>
    <x v="269"/>
    <s v="Customer_194"/>
    <x v="0"/>
    <x v="12"/>
    <x v="60"/>
    <x v="0"/>
    <x v="1"/>
    <x v="1"/>
    <n v="234.38"/>
    <n v="1875.04"/>
    <x v="269"/>
    <x v="267"/>
    <x v="1"/>
    <x v="1"/>
  </r>
  <r>
    <s v="ORD271"/>
    <x v="270"/>
    <s v="Customer_139"/>
    <x v="3"/>
    <x v="4"/>
    <x v="40"/>
    <x v="0"/>
    <x v="2"/>
    <x v="0"/>
    <n v="164.42"/>
    <n v="657.68"/>
    <x v="270"/>
    <x v="268"/>
    <x v="0"/>
    <x v="0"/>
  </r>
  <r>
    <s v="ORD272"/>
    <x v="271"/>
    <s v="Customer_128"/>
    <x v="1"/>
    <x v="2"/>
    <x v="77"/>
    <x v="0"/>
    <x v="3"/>
    <x v="0"/>
    <n v="295.85000000000002"/>
    <n v="1183.4000000000001"/>
    <x v="271"/>
    <x v="269"/>
    <x v="0"/>
    <x v="2"/>
  </r>
  <r>
    <s v="ORD273"/>
    <x v="272"/>
    <s v="Customer_86"/>
    <x v="1"/>
    <x v="2"/>
    <x v="33"/>
    <x v="0"/>
    <x v="0"/>
    <x v="3"/>
    <n v="492.89"/>
    <n v="4928.8999999999996"/>
    <x v="272"/>
    <x v="270"/>
    <x v="1"/>
    <x v="0"/>
  </r>
  <r>
    <s v="ORD274"/>
    <x v="273"/>
    <s v="Customer_37"/>
    <x v="3"/>
    <x v="4"/>
    <x v="55"/>
    <x v="0"/>
    <x v="2"/>
    <x v="3"/>
    <n v="31.62"/>
    <n v="316.2"/>
    <x v="273"/>
    <x v="271"/>
    <x v="0"/>
    <x v="1"/>
  </r>
  <r>
    <s v="ORD275"/>
    <x v="274"/>
    <s v="Customer_179"/>
    <x v="4"/>
    <x v="5"/>
    <x v="59"/>
    <x v="0"/>
    <x v="2"/>
    <x v="2"/>
    <n v="392.73"/>
    <n v="1178.19"/>
    <x v="274"/>
    <x v="272"/>
    <x v="0"/>
    <x v="1"/>
  </r>
  <r>
    <s v="ORD276"/>
    <x v="275"/>
    <s v="Customer_76"/>
    <x v="0"/>
    <x v="9"/>
    <x v="46"/>
    <x v="0"/>
    <x v="0"/>
    <x v="3"/>
    <n v="361.41"/>
    <n v="3614.1000000000004"/>
    <x v="275"/>
    <x v="273"/>
    <x v="1"/>
    <x v="1"/>
  </r>
  <r>
    <s v="ORD277"/>
    <x v="276"/>
    <s v="Customer_53"/>
    <x v="4"/>
    <x v="8"/>
    <x v="13"/>
    <x v="0"/>
    <x v="2"/>
    <x v="5"/>
    <n v="321.95"/>
    <n v="321.95"/>
    <x v="276"/>
    <x v="274"/>
    <x v="0"/>
    <x v="0"/>
  </r>
  <r>
    <s v="ORD278"/>
    <x v="277"/>
    <s v="Customer_173"/>
    <x v="4"/>
    <x v="10"/>
    <x v="53"/>
    <x v="0"/>
    <x v="3"/>
    <x v="4"/>
    <n v="211.25"/>
    <n v="1478.75"/>
    <x v="277"/>
    <x v="275"/>
    <x v="0"/>
    <x v="2"/>
  </r>
  <r>
    <s v="ORD279"/>
    <x v="278"/>
    <s v="Customer_85"/>
    <x v="4"/>
    <x v="5"/>
    <x v="59"/>
    <x v="0"/>
    <x v="2"/>
    <x v="5"/>
    <n v="418.08"/>
    <n v="418.08"/>
    <x v="278"/>
    <x v="276"/>
    <x v="0"/>
    <x v="2"/>
  </r>
  <r>
    <s v="ORD280"/>
    <x v="279"/>
    <s v="Customer_179"/>
    <x v="4"/>
    <x v="5"/>
    <x v="6"/>
    <x v="0"/>
    <x v="3"/>
    <x v="8"/>
    <n v="225.65"/>
    <n v="1128.25"/>
    <x v="279"/>
    <x v="277"/>
    <x v="0"/>
    <x v="0"/>
  </r>
  <r>
    <s v="ORD281"/>
    <x v="280"/>
    <s v="Customer_39"/>
    <x v="3"/>
    <x v="4"/>
    <x v="10"/>
    <x v="0"/>
    <x v="2"/>
    <x v="8"/>
    <n v="473.38"/>
    <n v="2366.9"/>
    <x v="280"/>
    <x v="278"/>
    <x v="1"/>
    <x v="2"/>
  </r>
  <r>
    <s v="ORD282"/>
    <x v="281"/>
    <s v="Customer_144"/>
    <x v="1"/>
    <x v="7"/>
    <x v="38"/>
    <x v="0"/>
    <x v="3"/>
    <x v="1"/>
    <n v="465.46"/>
    <n v="3723.68"/>
    <x v="281"/>
    <x v="279"/>
    <x v="1"/>
    <x v="1"/>
  </r>
  <r>
    <s v="ORD283"/>
    <x v="282"/>
    <s v="Customer_144"/>
    <x v="2"/>
    <x v="13"/>
    <x v="34"/>
    <x v="0"/>
    <x v="2"/>
    <x v="0"/>
    <n v="486.36"/>
    <n v="1945.44"/>
    <x v="282"/>
    <x v="280"/>
    <x v="1"/>
    <x v="0"/>
  </r>
  <r>
    <s v="ORD284"/>
    <x v="283"/>
    <s v="Customer_45"/>
    <x v="1"/>
    <x v="14"/>
    <x v="26"/>
    <x v="0"/>
    <x v="1"/>
    <x v="2"/>
    <n v="85.42"/>
    <n v="256.26"/>
    <x v="283"/>
    <x v="281"/>
    <x v="0"/>
    <x v="2"/>
  </r>
  <r>
    <s v="ORD285"/>
    <x v="284"/>
    <s v="Customer_136"/>
    <x v="1"/>
    <x v="6"/>
    <x v="73"/>
    <x v="0"/>
    <x v="1"/>
    <x v="9"/>
    <n v="422.14"/>
    <n v="844.28"/>
    <x v="284"/>
    <x v="282"/>
    <x v="0"/>
    <x v="2"/>
  </r>
  <r>
    <s v="ORD286"/>
    <x v="285"/>
    <s v="Customer_73"/>
    <x v="0"/>
    <x v="9"/>
    <x v="14"/>
    <x v="0"/>
    <x v="3"/>
    <x v="4"/>
    <n v="157.94"/>
    <n v="1105.58"/>
    <x v="285"/>
    <x v="283"/>
    <x v="0"/>
    <x v="2"/>
  </r>
  <r>
    <s v="ORD287"/>
    <x v="286"/>
    <s v="Customer_191"/>
    <x v="1"/>
    <x v="14"/>
    <x v="26"/>
    <x v="0"/>
    <x v="3"/>
    <x v="6"/>
    <n v="113.19"/>
    <n v="1018.71"/>
    <x v="286"/>
    <x v="284"/>
    <x v="0"/>
    <x v="2"/>
  </r>
  <r>
    <s v="ORD288"/>
    <x v="287"/>
    <s v="Customer_90"/>
    <x v="3"/>
    <x v="4"/>
    <x v="68"/>
    <x v="0"/>
    <x v="0"/>
    <x v="3"/>
    <n v="59.54"/>
    <n v="595.4"/>
    <x v="287"/>
    <x v="285"/>
    <x v="0"/>
    <x v="2"/>
  </r>
  <r>
    <s v="ORD289"/>
    <x v="288"/>
    <s v="Customer_139"/>
    <x v="2"/>
    <x v="3"/>
    <x v="17"/>
    <x v="0"/>
    <x v="1"/>
    <x v="7"/>
    <n v="404.48"/>
    <n v="2426.88"/>
    <x v="288"/>
    <x v="286"/>
    <x v="1"/>
    <x v="2"/>
  </r>
  <r>
    <s v="ORD290"/>
    <x v="289"/>
    <s v="Customer_132"/>
    <x v="4"/>
    <x v="5"/>
    <x v="8"/>
    <x v="0"/>
    <x v="2"/>
    <x v="8"/>
    <n v="156.61000000000001"/>
    <n v="783.05000000000007"/>
    <x v="289"/>
    <x v="287"/>
    <x v="0"/>
    <x v="0"/>
  </r>
  <r>
    <s v="ORD291"/>
    <x v="290"/>
    <s v="Customer_16"/>
    <x v="2"/>
    <x v="13"/>
    <x v="34"/>
    <x v="0"/>
    <x v="0"/>
    <x v="9"/>
    <n v="411.71"/>
    <n v="823.42"/>
    <x v="290"/>
    <x v="288"/>
    <x v="0"/>
    <x v="2"/>
  </r>
  <r>
    <s v="ORD292"/>
    <x v="291"/>
    <s v="Customer_183"/>
    <x v="1"/>
    <x v="2"/>
    <x v="25"/>
    <x v="0"/>
    <x v="3"/>
    <x v="6"/>
    <n v="276.54000000000002"/>
    <n v="2488.86"/>
    <x v="291"/>
    <x v="289"/>
    <x v="1"/>
    <x v="1"/>
  </r>
  <r>
    <s v="ORD293"/>
    <x v="292"/>
    <s v="Customer_80"/>
    <x v="2"/>
    <x v="13"/>
    <x v="42"/>
    <x v="0"/>
    <x v="0"/>
    <x v="0"/>
    <n v="367.16"/>
    <n v="1468.64"/>
    <x v="292"/>
    <x v="290"/>
    <x v="0"/>
    <x v="0"/>
  </r>
  <r>
    <s v="ORD294"/>
    <x v="293"/>
    <s v="Customer_27"/>
    <x v="1"/>
    <x v="2"/>
    <x v="2"/>
    <x v="0"/>
    <x v="2"/>
    <x v="7"/>
    <n v="290.63"/>
    <n v="1743.78"/>
    <x v="293"/>
    <x v="291"/>
    <x v="1"/>
    <x v="2"/>
  </r>
  <r>
    <s v="ORD295"/>
    <x v="294"/>
    <s v="Customer_24"/>
    <x v="4"/>
    <x v="5"/>
    <x v="8"/>
    <x v="0"/>
    <x v="3"/>
    <x v="1"/>
    <n v="57.33"/>
    <n v="458.64"/>
    <x v="294"/>
    <x v="292"/>
    <x v="0"/>
    <x v="1"/>
  </r>
  <r>
    <s v="ORD296"/>
    <x v="295"/>
    <s v="Customer_91"/>
    <x v="4"/>
    <x v="10"/>
    <x v="15"/>
    <x v="0"/>
    <x v="3"/>
    <x v="4"/>
    <n v="46.32"/>
    <n v="324.24"/>
    <x v="295"/>
    <x v="293"/>
    <x v="0"/>
    <x v="0"/>
  </r>
  <r>
    <s v="ORD297"/>
    <x v="296"/>
    <s v="Customer_174"/>
    <x v="4"/>
    <x v="10"/>
    <x v="69"/>
    <x v="0"/>
    <x v="1"/>
    <x v="5"/>
    <n v="195.35"/>
    <n v="195.35"/>
    <x v="296"/>
    <x v="294"/>
    <x v="0"/>
    <x v="0"/>
  </r>
  <r>
    <s v="ORD298"/>
    <x v="297"/>
    <s v="Customer_160"/>
    <x v="0"/>
    <x v="0"/>
    <x v="3"/>
    <x v="0"/>
    <x v="2"/>
    <x v="1"/>
    <n v="300.97000000000003"/>
    <n v="2407.7600000000002"/>
    <x v="297"/>
    <x v="295"/>
    <x v="1"/>
    <x v="1"/>
  </r>
  <r>
    <s v="ORD299"/>
    <x v="298"/>
    <s v="Customer_60"/>
    <x v="1"/>
    <x v="6"/>
    <x v="73"/>
    <x v="0"/>
    <x v="2"/>
    <x v="2"/>
    <n v="204.97"/>
    <n v="614.91"/>
    <x v="298"/>
    <x v="296"/>
    <x v="0"/>
    <x v="1"/>
  </r>
  <r>
    <s v="ORD300"/>
    <x v="299"/>
    <s v="Customer_199"/>
    <x v="0"/>
    <x v="1"/>
    <x v="44"/>
    <x v="0"/>
    <x v="2"/>
    <x v="9"/>
    <n v="482.83"/>
    <n v="965.66"/>
    <x v="299"/>
    <x v="297"/>
    <x v="0"/>
    <x v="2"/>
  </r>
  <r>
    <s v="ORD301"/>
    <x v="300"/>
    <s v="Customer_119"/>
    <x v="4"/>
    <x v="8"/>
    <x v="30"/>
    <x v="0"/>
    <x v="0"/>
    <x v="4"/>
    <n v="268.61"/>
    <n v="1880.27"/>
    <x v="300"/>
    <x v="298"/>
    <x v="1"/>
    <x v="0"/>
  </r>
  <r>
    <s v="ORD302"/>
    <x v="301"/>
    <s v="Customer_152"/>
    <x v="0"/>
    <x v="0"/>
    <x v="78"/>
    <x v="0"/>
    <x v="3"/>
    <x v="5"/>
    <n v="281.20999999999998"/>
    <n v="281.20999999999998"/>
    <x v="301"/>
    <x v="299"/>
    <x v="0"/>
    <x v="2"/>
  </r>
  <r>
    <s v="ORD303"/>
    <x v="302"/>
    <s v="Customer_12"/>
    <x v="0"/>
    <x v="12"/>
    <x v="24"/>
    <x v="0"/>
    <x v="1"/>
    <x v="2"/>
    <n v="79.989999999999995"/>
    <n v="239.96999999999997"/>
    <x v="302"/>
    <x v="300"/>
    <x v="0"/>
    <x v="1"/>
  </r>
  <r>
    <s v="ORD304"/>
    <x v="303"/>
    <s v="Customer_183"/>
    <x v="4"/>
    <x v="5"/>
    <x v="75"/>
    <x v="0"/>
    <x v="1"/>
    <x v="1"/>
    <n v="387.08"/>
    <n v="3096.64"/>
    <x v="303"/>
    <x v="301"/>
    <x v="1"/>
    <x v="2"/>
  </r>
  <r>
    <s v="ORD305"/>
    <x v="304"/>
    <s v="Customer_55"/>
    <x v="1"/>
    <x v="14"/>
    <x v="76"/>
    <x v="0"/>
    <x v="2"/>
    <x v="0"/>
    <n v="444.92"/>
    <n v="1779.68"/>
    <x v="304"/>
    <x v="302"/>
    <x v="1"/>
    <x v="1"/>
  </r>
  <r>
    <s v="ORD306"/>
    <x v="305"/>
    <s v="Customer_99"/>
    <x v="1"/>
    <x v="6"/>
    <x v="22"/>
    <x v="0"/>
    <x v="1"/>
    <x v="0"/>
    <n v="274.62"/>
    <n v="1098.48"/>
    <x v="305"/>
    <x v="303"/>
    <x v="0"/>
    <x v="2"/>
  </r>
  <r>
    <s v="ORD307"/>
    <x v="306"/>
    <s v="Customer_23"/>
    <x v="1"/>
    <x v="2"/>
    <x v="25"/>
    <x v="0"/>
    <x v="3"/>
    <x v="0"/>
    <n v="52.27"/>
    <n v="209.08"/>
    <x v="306"/>
    <x v="304"/>
    <x v="0"/>
    <x v="2"/>
  </r>
  <r>
    <s v="ORD308"/>
    <x v="307"/>
    <s v="Customer_36"/>
    <x v="0"/>
    <x v="12"/>
    <x v="21"/>
    <x v="0"/>
    <x v="2"/>
    <x v="6"/>
    <n v="387.81"/>
    <n v="3490.29"/>
    <x v="307"/>
    <x v="305"/>
    <x v="1"/>
    <x v="2"/>
  </r>
  <r>
    <s v="ORD309"/>
    <x v="308"/>
    <s v="Customer_31"/>
    <x v="0"/>
    <x v="0"/>
    <x v="3"/>
    <x v="0"/>
    <x v="2"/>
    <x v="5"/>
    <n v="57.26"/>
    <n v="57.26"/>
    <x v="308"/>
    <x v="306"/>
    <x v="0"/>
    <x v="2"/>
  </r>
  <r>
    <s v="ORD310"/>
    <x v="309"/>
    <s v="Customer_69"/>
    <x v="2"/>
    <x v="13"/>
    <x v="34"/>
    <x v="0"/>
    <x v="1"/>
    <x v="9"/>
    <n v="284.24"/>
    <n v="568.48"/>
    <x v="309"/>
    <x v="307"/>
    <x v="0"/>
    <x v="0"/>
  </r>
  <r>
    <s v="ORD311"/>
    <x v="310"/>
    <s v="Customer_134"/>
    <x v="3"/>
    <x v="4"/>
    <x v="68"/>
    <x v="0"/>
    <x v="1"/>
    <x v="2"/>
    <n v="242.89"/>
    <n v="728.67"/>
    <x v="310"/>
    <x v="308"/>
    <x v="0"/>
    <x v="2"/>
  </r>
  <r>
    <s v="ORD312"/>
    <x v="311"/>
    <s v="Customer_23"/>
    <x v="2"/>
    <x v="3"/>
    <x v="4"/>
    <x v="0"/>
    <x v="3"/>
    <x v="0"/>
    <n v="465.25"/>
    <n v="1861"/>
    <x v="311"/>
    <x v="309"/>
    <x v="1"/>
    <x v="0"/>
  </r>
  <r>
    <s v="ORD313"/>
    <x v="312"/>
    <s v="Customer_148"/>
    <x v="0"/>
    <x v="9"/>
    <x v="16"/>
    <x v="0"/>
    <x v="0"/>
    <x v="5"/>
    <n v="462.38"/>
    <n v="462.38"/>
    <x v="312"/>
    <x v="310"/>
    <x v="0"/>
    <x v="0"/>
  </r>
  <r>
    <s v="ORD314"/>
    <x v="313"/>
    <s v="Customer_67"/>
    <x v="3"/>
    <x v="4"/>
    <x v="55"/>
    <x v="0"/>
    <x v="1"/>
    <x v="1"/>
    <n v="254.4"/>
    <n v="2035.2"/>
    <x v="313"/>
    <x v="311"/>
    <x v="1"/>
    <x v="2"/>
  </r>
  <r>
    <s v="ORD315"/>
    <x v="314"/>
    <s v="Customer_165"/>
    <x v="0"/>
    <x v="0"/>
    <x v="20"/>
    <x v="0"/>
    <x v="2"/>
    <x v="0"/>
    <n v="349.52"/>
    <n v="1398.08"/>
    <x v="314"/>
    <x v="312"/>
    <x v="0"/>
    <x v="1"/>
  </r>
  <r>
    <s v="ORD316"/>
    <x v="315"/>
    <s v="Customer_21"/>
    <x v="2"/>
    <x v="11"/>
    <x v="54"/>
    <x v="0"/>
    <x v="2"/>
    <x v="9"/>
    <n v="232.11"/>
    <n v="464.22"/>
    <x v="315"/>
    <x v="313"/>
    <x v="0"/>
    <x v="1"/>
  </r>
  <r>
    <s v="ORD317"/>
    <x v="316"/>
    <s v="Customer_44"/>
    <x v="4"/>
    <x v="10"/>
    <x v="69"/>
    <x v="0"/>
    <x v="3"/>
    <x v="2"/>
    <n v="342.03"/>
    <n v="1026.0899999999999"/>
    <x v="316"/>
    <x v="314"/>
    <x v="0"/>
    <x v="2"/>
  </r>
  <r>
    <s v="ORD318"/>
    <x v="317"/>
    <s v="Customer_82"/>
    <x v="4"/>
    <x v="8"/>
    <x v="30"/>
    <x v="0"/>
    <x v="2"/>
    <x v="2"/>
    <n v="375.67"/>
    <n v="1127.01"/>
    <x v="317"/>
    <x v="315"/>
    <x v="0"/>
    <x v="0"/>
  </r>
  <r>
    <s v="ORD319"/>
    <x v="318"/>
    <s v="Customer_92"/>
    <x v="0"/>
    <x v="1"/>
    <x v="32"/>
    <x v="0"/>
    <x v="0"/>
    <x v="9"/>
    <n v="181.87"/>
    <n v="363.74"/>
    <x v="318"/>
    <x v="316"/>
    <x v="0"/>
    <x v="0"/>
  </r>
  <r>
    <s v="ORD320"/>
    <x v="319"/>
    <s v="Customer_187"/>
    <x v="0"/>
    <x v="15"/>
    <x v="37"/>
    <x v="0"/>
    <x v="0"/>
    <x v="5"/>
    <n v="216.94"/>
    <n v="216.94"/>
    <x v="319"/>
    <x v="317"/>
    <x v="0"/>
    <x v="0"/>
  </r>
  <r>
    <s v="ORD321"/>
    <x v="320"/>
    <s v="Customer_122"/>
    <x v="3"/>
    <x v="4"/>
    <x v="40"/>
    <x v="0"/>
    <x v="3"/>
    <x v="8"/>
    <n v="465.9"/>
    <n v="2329.5"/>
    <x v="320"/>
    <x v="318"/>
    <x v="1"/>
    <x v="2"/>
  </r>
  <r>
    <s v="ORD322"/>
    <x v="321"/>
    <s v="Customer_74"/>
    <x v="0"/>
    <x v="1"/>
    <x v="44"/>
    <x v="0"/>
    <x v="2"/>
    <x v="2"/>
    <n v="366.48"/>
    <n v="1099.44"/>
    <x v="321"/>
    <x v="319"/>
    <x v="0"/>
    <x v="0"/>
  </r>
  <r>
    <s v="ORD323"/>
    <x v="322"/>
    <s v="Customer_138"/>
    <x v="1"/>
    <x v="2"/>
    <x v="25"/>
    <x v="0"/>
    <x v="2"/>
    <x v="2"/>
    <n v="109.09"/>
    <n v="327.27"/>
    <x v="322"/>
    <x v="320"/>
    <x v="0"/>
    <x v="1"/>
  </r>
  <r>
    <s v="ORD324"/>
    <x v="323"/>
    <s v="Customer_123"/>
    <x v="0"/>
    <x v="1"/>
    <x v="57"/>
    <x v="0"/>
    <x v="0"/>
    <x v="0"/>
    <n v="208.45"/>
    <n v="833.8"/>
    <x v="323"/>
    <x v="321"/>
    <x v="0"/>
    <x v="2"/>
  </r>
  <r>
    <s v="ORD325"/>
    <x v="324"/>
    <s v="Customer_93"/>
    <x v="1"/>
    <x v="2"/>
    <x v="77"/>
    <x v="0"/>
    <x v="1"/>
    <x v="3"/>
    <n v="231.4"/>
    <n v="2314"/>
    <x v="324"/>
    <x v="322"/>
    <x v="1"/>
    <x v="0"/>
  </r>
  <r>
    <s v="ORD326"/>
    <x v="325"/>
    <s v="Customer_62"/>
    <x v="1"/>
    <x v="14"/>
    <x v="26"/>
    <x v="0"/>
    <x v="2"/>
    <x v="0"/>
    <n v="135.61000000000001"/>
    <n v="542.44000000000005"/>
    <x v="325"/>
    <x v="323"/>
    <x v="0"/>
    <x v="1"/>
  </r>
  <r>
    <s v="ORD327"/>
    <x v="326"/>
    <s v="Customer_159"/>
    <x v="4"/>
    <x v="5"/>
    <x v="59"/>
    <x v="0"/>
    <x v="1"/>
    <x v="3"/>
    <n v="310.67"/>
    <n v="3106.7000000000003"/>
    <x v="326"/>
    <x v="324"/>
    <x v="1"/>
    <x v="0"/>
  </r>
  <r>
    <s v="ORD328"/>
    <x v="327"/>
    <s v="Customer_33"/>
    <x v="0"/>
    <x v="9"/>
    <x v="36"/>
    <x v="0"/>
    <x v="3"/>
    <x v="9"/>
    <n v="110.28"/>
    <n v="220.56"/>
    <x v="327"/>
    <x v="325"/>
    <x v="0"/>
    <x v="0"/>
  </r>
  <r>
    <s v="ORD329"/>
    <x v="328"/>
    <s v="Customer_62"/>
    <x v="0"/>
    <x v="15"/>
    <x v="52"/>
    <x v="0"/>
    <x v="1"/>
    <x v="5"/>
    <n v="195.45"/>
    <n v="195.45"/>
    <x v="328"/>
    <x v="326"/>
    <x v="0"/>
    <x v="2"/>
  </r>
  <r>
    <s v="ORD330"/>
    <x v="329"/>
    <s v="Customer_174"/>
    <x v="2"/>
    <x v="11"/>
    <x v="47"/>
    <x v="0"/>
    <x v="3"/>
    <x v="1"/>
    <n v="270.33"/>
    <n v="2162.64"/>
    <x v="329"/>
    <x v="327"/>
    <x v="1"/>
    <x v="2"/>
  </r>
  <r>
    <s v="ORD331"/>
    <x v="330"/>
    <s v="Customer_175"/>
    <x v="0"/>
    <x v="9"/>
    <x v="14"/>
    <x v="0"/>
    <x v="0"/>
    <x v="0"/>
    <n v="267.94"/>
    <n v="1071.76"/>
    <x v="330"/>
    <x v="328"/>
    <x v="0"/>
    <x v="1"/>
  </r>
  <r>
    <s v="ORD332"/>
    <x v="331"/>
    <s v="Customer_185"/>
    <x v="0"/>
    <x v="1"/>
    <x v="32"/>
    <x v="0"/>
    <x v="3"/>
    <x v="6"/>
    <n v="338.78"/>
    <n v="3049.0199999999995"/>
    <x v="331"/>
    <x v="329"/>
    <x v="1"/>
    <x v="1"/>
  </r>
  <r>
    <s v="ORD333"/>
    <x v="332"/>
    <s v="Customer_137"/>
    <x v="4"/>
    <x v="5"/>
    <x v="8"/>
    <x v="0"/>
    <x v="1"/>
    <x v="7"/>
    <n v="184.42"/>
    <n v="1106.52"/>
    <x v="332"/>
    <x v="330"/>
    <x v="0"/>
    <x v="2"/>
  </r>
  <r>
    <s v="ORD334"/>
    <x v="333"/>
    <s v="Customer_68"/>
    <x v="1"/>
    <x v="6"/>
    <x v="22"/>
    <x v="0"/>
    <x v="3"/>
    <x v="4"/>
    <n v="22.02"/>
    <n v="154.13999999999999"/>
    <x v="333"/>
    <x v="331"/>
    <x v="0"/>
    <x v="2"/>
  </r>
  <r>
    <s v="ORD335"/>
    <x v="334"/>
    <s v="Customer_70"/>
    <x v="1"/>
    <x v="2"/>
    <x v="77"/>
    <x v="0"/>
    <x v="1"/>
    <x v="7"/>
    <n v="138.15"/>
    <n v="828.90000000000009"/>
    <x v="334"/>
    <x v="332"/>
    <x v="0"/>
    <x v="0"/>
  </r>
  <r>
    <s v="ORD336"/>
    <x v="335"/>
    <s v="Customer_12"/>
    <x v="0"/>
    <x v="15"/>
    <x v="49"/>
    <x v="0"/>
    <x v="3"/>
    <x v="7"/>
    <n v="33.99"/>
    <n v="203.94"/>
    <x v="335"/>
    <x v="333"/>
    <x v="0"/>
    <x v="0"/>
  </r>
  <r>
    <s v="ORD337"/>
    <x v="336"/>
    <s v="Customer_116"/>
    <x v="1"/>
    <x v="2"/>
    <x v="77"/>
    <x v="0"/>
    <x v="0"/>
    <x v="7"/>
    <n v="177.33"/>
    <n v="1063.98"/>
    <x v="336"/>
    <x v="334"/>
    <x v="0"/>
    <x v="2"/>
  </r>
  <r>
    <s v="ORD338"/>
    <x v="337"/>
    <s v="Customer_147"/>
    <x v="0"/>
    <x v="15"/>
    <x v="37"/>
    <x v="0"/>
    <x v="0"/>
    <x v="4"/>
    <n v="255.77"/>
    <n v="1790.39"/>
    <x v="337"/>
    <x v="335"/>
    <x v="0"/>
    <x v="2"/>
  </r>
  <r>
    <s v="ORD339"/>
    <x v="338"/>
    <s v="Customer_121"/>
    <x v="4"/>
    <x v="5"/>
    <x v="6"/>
    <x v="0"/>
    <x v="2"/>
    <x v="6"/>
    <n v="52.34"/>
    <n v="471.06000000000006"/>
    <x v="338"/>
    <x v="336"/>
    <x v="0"/>
    <x v="0"/>
  </r>
  <r>
    <s v="ORD340"/>
    <x v="339"/>
    <s v="Customer_152"/>
    <x v="0"/>
    <x v="12"/>
    <x v="65"/>
    <x v="0"/>
    <x v="0"/>
    <x v="7"/>
    <n v="248.91"/>
    <n v="1493.46"/>
    <x v="339"/>
    <x v="337"/>
    <x v="1"/>
    <x v="1"/>
  </r>
  <r>
    <s v="ORD341"/>
    <x v="340"/>
    <s v="Customer_16"/>
    <x v="1"/>
    <x v="14"/>
    <x v="63"/>
    <x v="0"/>
    <x v="0"/>
    <x v="2"/>
    <n v="119.4"/>
    <n v="358.20000000000005"/>
    <x v="340"/>
    <x v="338"/>
    <x v="0"/>
    <x v="1"/>
  </r>
  <r>
    <s v="ORD342"/>
    <x v="341"/>
    <s v="Customer_45"/>
    <x v="0"/>
    <x v="12"/>
    <x v="21"/>
    <x v="0"/>
    <x v="1"/>
    <x v="3"/>
    <n v="460.05"/>
    <n v="4600.5"/>
    <x v="341"/>
    <x v="339"/>
    <x v="1"/>
    <x v="0"/>
  </r>
  <r>
    <s v="ORD343"/>
    <x v="342"/>
    <s v="Customer_71"/>
    <x v="2"/>
    <x v="11"/>
    <x v="54"/>
    <x v="0"/>
    <x v="2"/>
    <x v="8"/>
    <n v="141.16999999999999"/>
    <n v="705.84999999999991"/>
    <x v="342"/>
    <x v="340"/>
    <x v="0"/>
    <x v="2"/>
  </r>
  <r>
    <s v="ORD344"/>
    <x v="343"/>
    <s v="Customer_159"/>
    <x v="2"/>
    <x v="11"/>
    <x v="54"/>
    <x v="0"/>
    <x v="2"/>
    <x v="5"/>
    <n v="138.54"/>
    <n v="138.54"/>
    <x v="343"/>
    <x v="341"/>
    <x v="0"/>
    <x v="1"/>
  </r>
  <r>
    <s v="ORD345"/>
    <x v="344"/>
    <s v="Customer_183"/>
    <x v="0"/>
    <x v="9"/>
    <x v="14"/>
    <x v="0"/>
    <x v="2"/>
    <x v="9"/>
    <n v="415.96"/>
    <n v="831.92"/>
    <x v="344"/>
    <x v="342"/>
    <x v="0"/>
    <x v="2"/>
  </r>
  <r>
    <s v="ORD346"/>
    <x v="345"/>
    <s v="Customer_109"/>
    <x v="1"/>
    <x v="7"/>
    <x v="27"/>
    <x v="0"/>
    <x v="0"/>
    <x v="8"/>
    <n v="379.46"/>
    <n v="1897.3"/>
    <x v="345"/>
    <x v="343"/>
    <x v="1"/>
    <x v="0"/>
  </r>
  <r>
    <s v="ORD347"/>
    <x v="346"/>
    <s v="Customer_65"/>
    <x v="0"/>
    <x v="12"/>
    <x v="71"/>
    <x v="0"/>
    <x v="0"/>
    <x v="6"/>
    <n v="431.58"/>
    <n v="3884.22"/>
    <x v="346"/>
    <x v="344"/>
    <x v="1"/>
    <x v="2"/>
  </r>
  <r>
    <s v="ORD348"/>
    <x v="347"/>
    <s v="Customer_40"/>
    <x v="1"/>
    <x v="2"/>
    <x v="25"/>
    <x v="0"/>
    <x v="1"/>
    <x v="6"/>
    <n v="398.18"/>
    <n v="3583.62"/>
    <x v="347"/>
    <x v="345"/>
    <x v="1"/>
    <x v="1"/>
  </r>
  <r>
    <s v="ORD349"/>
    <x v="348"/>
    <s v="Customer_28"/>
    <x v="1"/>
    <x v="6"/>
    <x v="50"/>
    <x v="0"/>
    <x v="2"/>
    <x v="5"/>
    <n v="247.9"/>
    <n v="247.9"/>
    <x v="348"/>
    <x v="346"/>
    <x v="0"/>
    <x v="1"/>
  </r>
  <r>
    <s v="ORD350"/>
    <x v="349"/>
    <s v="Customer_16"/>
    <x v="0"/>
    <x v="0"/>
    <x v="3"/>
    <x v="0"/>
    <x v="3"/>
    <x v="7"/>
    <n v="216.49"/>
    <n v="1298.94"/>
    <x v="349"/>
    <x v="347"/>
    <x v="0"/>
    <x v="1"/>
  </r>
  <r>
    <s v="ORD351"/>
    <x v="350"/>
    <s v="Customer_126"/>
    <x v="4"/>
    <x v="8"/>
    <x v="72"/>
    <x v="0"/>
    <x v="2"/>
    <x v="6"/>
    <n v="222.77"/>
    <n v="2004.93"/>
    <x v="350"/>
    <x v="348"/>
    <x v="1"/>
    <x v="2"/>
  </r>
  <r>
    <s v="ORD352"/>
    <x v="351"/>
    <s v="Customer_190"/>
    <x v="1"/>
    <x v="6"/>
    <x v="73"/>
    <x v="0"/>
    <x v="3"/>
    <x v="6"/>
    <n v="116.53"/>
    <n v="1048.77"/>
    <x v="351"/>
    <x v="349"/>
    <x v="0"/>
    <x v="2"/>
  </r>
  <r>
    <s v="ORD353"/>
    <x v="352"/>
    <s v="Customer_72"/>
    <x v="0"/>
    <x v="1"/>
    <x v="32"/>
    <x v="0"/>
    <x v="0"/>
    <x v="3"/>
    <n v="207.63"/>
    <n v="2076.3000000000002"/>
    <x v="352"/>
    <x v="350"/>
    <x v="1"/>
    <x v="1"/>
  </r>
  <r>
    <s v="ORD354"/>
    <x v="353"/>
    <s v="Customer_177"/>
    <x v="0"/>
    <x v="12"/>
    <x v="24"/>
    <x v="0"/>
    <x v="2"/>
    <x v="1"/>
    <n v="156.36000000000001"/>
    <n v="1250.8800000000001"/>
    <x v="353"/>
    <x v="351"/>
    <x v="0"/>
    <x v="1"/>
  </r>
  <r>
    <s v="ORD355"/>
    <x v="354"/>
    <s v="Customer_13"/>
    <x v="1"/>
    <x v="6"/>
    <x v="50"/>
    <x v="0"/>
    <x v="2"/>
    <x v="9"/>
    <n v="27.87"/>
    <n v="55.74"/>
    <x v="354"/>
    <x v="352"/>
    <x v="0"/>
    <x v="0"/>
  </r>
  <r>
    <s v="ORD356"/>
    <x v="355"/>
    <s v="Customer_183"/>
    <x v="1"/>
    <x v="2"/>
    <x v="33"/>
    <x v="0"/>
    <x v="0"/>
    <x v="7"/>
    <n v="409.98"/>
    <n v="2459.88"/>
    <x v="355"/>
    <x v="353"/>
    <x v="1"/>
    <x v="0"/>
  </r>
  <r>
    <s v="ORD357"/>
    <x v="356"/>
    <s v="Customer_38"/>
    <x v="4"/>
    <x v="8"/>
    <x v="28"/>
    <x v="0"/>
    <x v="2"/>
    <x v="8"/>
    <n v="280.76"/>
    <n v="1403.8"/>
    <x v="356"/>
    <x v="354"/>
    <x v="0"/>
    <x v="1"/>
  </r>
  <r>
    <s v="ORD358"/>
    <x v="357"/>
    <s v="Customer_62"/>
    <x v="4"/>
    <x v="5"/>
    <x v="8"/>
    <x v="0"/>
    <x v="0"/>
    <x v="8"/>
    <n v="353.43"/>
    <n v="1767.15"/>
    <x v="357"/>
    <x v="355"/>
    <x v="1"/>
    <x v="0"/>
  </r>
  <r>
    <s v="ORD359"/>
    <x v="358"/>
    <s v="Customer_179"/>
    <x v="4"/>
    <x v="10"/>
    <x v="66"/>
    <x v="0"/>
    <x v="1"/>
    <x v="6"/>
    <n v="384.75"/>
    <n v="3462.75"/>
    <x v="358"/>
    <x v="356"/>
    <x v="1"/>
    <x v="1"/>
  </r>
  <r>
    <s v="ORD360"/>
    <x v="359"/>
    <s v="Customer_35"/>
    <x v="2"/>
    <x v="13"/>
    <x v="42"/>
    <x v="0"/>
    <x v="0"/>
    <x v="1"/>
    <n v="379.1"/>
    <n v="3032.8"/>
    <x v="359"/>
    <x v="357"/>
    <x v="1"/>
    <x v="2"/>
  </r>
  <r>
    <s v="ORD361"/>
    <x v="360"/>
    <s v="Customer_95"/>
    <x v="0"/>
    <x v="12"/>
    <x v="65"/>
    <x v="0"/>
    <x v="0"/>
    <x v="6"/>
    <n v="314.85000000000002"/>
    <n v="2833.65"/>
    <x v="360"/>
    <x v="358"/>
    <x v="1"/>
    <x v="1"/>
  </r>
  <r>
    <s v="ORD362"/>
    <x v="361"/>
    <s v="Customer_189"/>
    <x v="0"/>
    <x v="15"/>
    <x v="41"/>
    <x v="0"/>
    <x v="1"/>
    <x v="1"/>
    <n v="464"/>
    <n v="3712"/>
    <x v="361"/>
    <x v="359"/>
    <x v="1"/>
    <x v="1"/>
  </r>
  <r>
    <s v="ORD363"/>
    <x v="362"/>
    <s v="Customer_170"/>
    <x v="4"/>
    <x v="5"/>
    <x v="8"/>
    <x v="0"/>
    <x v="2"/>
    <x v="4"/>
    <n v="202.14"/>
    <n v="1414.98"/>
    <x v="362"/>
    <x v="360"/>
    <x v="0"/>
    <x v="2"/>
  </r>
  <r>
    <s v="ORD364"/>
    <x v="363"/>
    <s v="Customer_82"/>
    <x v="0"/>
    <x v="12"/>
    <x v="60"/>
    <x v="0"/>
    <x v="0"/>
    <x v="7"/>
    <n v="300.56"/>
    <n v="1803.3600000000001"/>
    <x v="363"/>
    <x v="361"/>
    <x v="1"/>
    <x v="2"/>
  </r>
  <r>
    <s v="ORD365"/>
    <x v="364"/>
    <s v="Customer_147"/>
    <x v="0"/>
    <x v="15"/>
    <x v="37"/>
    <x v="0"/>
    <x v="2"/>
    <x v="6"/>
    <n v="472.87"/>
    <n v="4255.83"/>
    <x v="364"/>
    <x v="362"/>
    <x v="1"/>
    <x v="1"/>
  </r>
  <r>
    <s v="ORD366"/>
    <x v="365"/>
    <s v="Customer_8"/>
    <x v="0"/>
    <x v="9"/>
    <x v="36"/>
    <x v="0"/>
    <x v="3"/>
    <x v="3"/>
    <n v="233.44"/>
    <n v="2334.4"/>
    <x v="365"/>
    <x v="363"/>
    <x v="1"/>
    <x v="0"/>
  </r>
  <r>
    <s v="ORD367"/>
    <x v="366"/>
    <s v="Customer_181"/>
    <x v="2"/>
    <x v="13"/>
    <x v="34"/>
    <x v="0"/>
    <x v="3"/>
    <x v="0"/>
    <n v="40.72"/>
    <n v="162.88"/>
    <x v="366"/>
    <x v="364"/>
    <x v="0"/>
    <x v="1"/>
  </r>
  <r>
    <s v="ORD368"/>
    <x v="367"/>
    <s v="Customer_127"/>
    <x v="0"/>
    <x v="15"/>
    <x v="41"/>
    <x v="0"/>
    <x v="0"/>
    <x v="7"/>
    <n v="365.43"/>
    <n v="2192.58"/>
    <x v="367"/>
    <x v="365"/>
    <x v="1"/>
    <x v="1"/>
  </r>
  <r>
    <s v="ORD369"/>
    <x v="368"/>
    <s v="Customer_94"/>
    <x v="2"/>
    <x v="3"/>
    <x v="17"/>
    <x v="0"/>
    <x v="1"/>
    <x v="4"/>
    <n v="138.12"/>
    <n v="966.84"/>
    <x v="368"/>
    <x v="366"/>
    <x v="0"/>
    <x v="2"/>
  </r>
  <r>
    <s v="ORD370"/>
    <x v="369"/>
    <s v="Customer_76"/>
    <x v="0"/>
    <x v="15"/>
    <x v="41"/>
    <x v="0"/>
    <x v="0"/>
    <x v="4"/>
    <n v="193.71"/>
    <n v="1355.97"/>
    <x v="369"/>
    <x v="367"/>
    <x v="0"/>
    <x v="2"/>
  </r>
  <r>
    <s v="ORD371"/>
    <x v="370"/>
    <s v="Customer_143"/>
    <x v="2"/>
    <x v="13"/>
    <x v="23"/>
    <x v="0"/>
    <x v="1"/>
    <x v="9"/>
    <n v="158.91999999999999"/>
    <n v="317.83999999999997"/>
    <x v="370"/>
    <x v="368"/>
    <x v="0"/>
    <x v="0"/>
  </r>
  <r>
    <s v="ORD372"/>
    <x v="371"/>
    <s v="Customer_162"/>
    <x v="4"/>
    <x v="10"/>
    <x v="53"/>
    <x v="0"/>
    <x v="0"/>
    <x v="0"/>
    <n v="79.34"/>
    <n v="317.36"/>
    <x v="371"/>
    <x v="369"/>
    <x v="0"/>
    <x v="1"/>
  </r>
  <r>
    <s v="ORD373"/>
    <x v="372"/>
    <s v="Customer_62"/>
    <x v="0"/>
    <x v="12"/>
    <x v="24"/>
    <x v="0"/>
    <x v="0"/>
    <x v="1"/>
    <n v="107.53"/>
    <n v="860.24"/>
    <x v="372"/>
    <x v="370"/>
    <x v="0"/>
    <x v="1"/>
  </r>
  <r>
    <s v="ORD374"/>
    <x v="373"/>
    <s v="Customer_135"/>
    <x v="1"/>
    <x v="2"/>
    <x v="25"/>
    <x v="0"/>
    <x v="1"/>
    <x v="2"/>
    <n v="215.6"/>
    <n v="646.79999999999995"/>
    <x v="373"/>
    <x v="371"/>
    <x v="0"/>
    <x v="2"/>
  </r>
  <r>
    <s v="ORD375"/>
    <x v="374"/>
    <s v="Customer_150"/>
    <x v="3"/>
    <x v="4"/>
    <x v="40"/>
    <x v="0"/>
    <x v="3"/>
    <x v="2"/>
    <n v="426.07"/>
    <n v="1278.21"/>
    <x v="374"/>
    <x v="372"/>
    <x v="0"/>
    <x v="1"/>
  </r>
  <r>
    <s v="ORD376"/>
    <x v="375"/>
    <s v="Customer_102"/>
    <x v="1"/>
    <x v="2"/>
    <x v="39"/>
    <x v="0"/>
    <x v="2"/>
    <x v="9"/>
    <n v="214.91"/>
    <n v="429.82"/>
    <x v="375"/>
    <x v="373"/>
    <x v="0"/>
    <x v="0"/>
  </r>
  <r>
    <s v="ORD377"/>
    <x v="376"/>
    <s v="Customer_126"/>
    <x v="1"/>
    <x v="14"/>
    <x v="76"/>
    <x v="0"/>
    <x v="2"/>
    <x v="7"/>
    <n v="202.29"/>
    <n v="1213.74"/>
    <x v="376"/>
    <x v="374"/>
    <x v="0"/>
    <x v="0"/>
  </r>
  <r>
    <s v="ORD378"/>
    <x v="377"/>
    <s v="Customer_58"/>
    <x v="1"/>
    <x v="7"/>
    <x v="27"/>
    <x v="0"/>
    <x v="2"/>
    <x v="6"/>
    <n v="450.82"/>
    <n v="4057.38"/>
    <x v="377"/>
    <x v="375"/>
    <x v="1"/>
    <x v="2"/>
  </r>
  <r>
    <s v="ORD379"/>
    <x v="378"/>
    <s v="Customer_59"/>
    <x v="3"/>
    <x v="4"/>
    <x v="68"/>
    <x v="0"/>
    <x v="0"/>
    <x v="7"/>
    <n v="200.51"/>
    <n v="1203.06"/>
    <x v="378"/>
    <x v="376"/>
    <x v="0"/>
    <x v="0"/>
  </r>
  <r>
    <s v="ORD380"/>
    <x v="379"/>
    <s v="Customer_173"/>
    <x v="2"/>
    <x v="13"/>
    <x v="62"/>
    <x v="0"/>
    <x v="1"/>
    <x v="1"/>
    <n v="257.25"/>
    <n v="2058"/>
    <x v="379"/>
    <x v="377"/>
    <x v="1"/>
    <x v="0"/>
  </r>
  <r>
    <s v="ORD381"/>
    <x v="380"/>
    <s v="Customer_161"/>
    <x v="0"/>
    <x v="0"/>
    <x v="78"/>
    <x v="0"/>
    <x v="1"/>
    <x v="5"/>
    <n v="317.52999999999997"/>
    <n v="317.52999999999997"/>
    <x v="380"/>
    <x v="378"/>
    <x v="0"/>
    <x v="2"/>
  </r>
  <r>
    <s v="ORD382"/>
    <x v="381"/>
    <s v="Customer_11"/>
    <x v="1"/>
    <x v="6"/>
    <x v="50"/>
    <x v="0"/>
    <x v="1"/>
    <x v="2"/>
    <n v="175.53"/>
    <n v="526.59"/>
    <x v="381"/>
    <x v="379"/>
    <x v="0"/>
    <x v="2"/>
  </r>
  <r>
    <s v="ORD383"/>
    <x v="382"/>
    <s v="Customer_69"/>
    <x v="2"/>
    <x v="3"/>
    <x v="35"/>
    <x v="0"/>
    <x v="1"/>
    <x v="9"/>
    <n v="466.74"/>
    <n v="933.48"/>
    <x v="382"/>
    <x v="380"/>
    <x v="0"/>
    <x v="2"/>
  </r>
  <r>
    <s v="ORD384"/>
    <x v="383"/>
    <s v="Customer_166"/>
    <x v="1"/>
    <x v="2"/>
    <x v="2"/>
    <x v="0"/>
    <x v="2"/>
    <x v="0"/>
    <n v="363.65"/>
    <n v="1454.6"/>
    <x v="383"/>
    <x v="381"/>
    <x v="0"/>
    <x v="1"/>
  </r>
  <r>
    <s v="ORD385"/>
    <x v="384"/>
    <s v="Customer_47"/>
    <x v="2"/>
    <x v="3"/>
    <x v="35"/>
    <x v="0"/>
    <x v="1"/>
    <x v="3"/>
    <n v="342.48"/>
    <n v="3424.8"/>
    <x v="384"/>
    <x v="382"/>
    <x v="1"/>
    <x v="2"/>
  </r>
  <r>
    <s v="ORD386"/>
    <x v="385"/>
    <s v="Customer_137"/>
    <x v="4"/>
    <x v="5"/>
    <x v="59"/>
    <x v="0"/>
    <x v="3"/>
    <x v="0"/>
    <n v="79.239999999999995"/>
    <n v="316.95999999999998"/>
    <x v="385"/>
    <x v="383"/>
    <x v="0"/>
    <x v="0"/>
  </r>
  <r>
    <s v="ORD387"/>
    <x v="386"/>
    <s v="Customer_147"/>
    <x v="1"/>
    <x v="7"/>
    <x v="11"/>
    <x v="0"/>
    <x v="0"/>
    <x v="1"/>
    <n v="306.26"/>
    <n v="2450.08"/>
    <x v="386"/>
    <x v="384"/>
    <x v="1"/>
    <x v="1"/>
  </r>
  <r>
    <s v="ORD388"/>
    <x v="387"/>
    <s v="Customer_71"/>
    <x v="0"/>
    <x v="15"/>
    <x v="67"/>
    <x v="0"/>
    <x v="3"/>
    <x v="3"/>
    <n v="113.35"/>
    <n v="1133.5"/>
    <x v="387"/>
    <x v="385"/>
    <x v="0"/>
    <x v="0"/>
  </r>
  <r>
    <s v="ORD389"/>
    <x v="388"/>
    <s v="Customer_77"/>
    <x v="2"/>
    <x v="13"/>
    <x v="23"/>
    <x v="0"/>
    <x v="1"/>
    <x v="7"/>
    <n v="320.48"/>
    <n v="1922.88"/>
    <x v="388"/>
    <x v="386"/>
    <x v="1"/>
    <x v="1"/>
  </r>
  <r>
    <s v="ORD390"/>
    <x v="389"/>
    <s v="Customer_118"/>
    <x v="0"/>
    <x v="12"/>
    <x v="71"/>
    <x v="0"/>
    <x v="0"/>
    <x v="5"/>
    <n v="76.31"/>
    <n v="76.31"/>
    <x v="389"/>
    <x v="387"/>
    <x v="0"/>
    <x v="2"/>
  </r>
  <r>
    <s v="ORD391"/>
    <x v="390"/>
    <s v="Customer_194"/>
    <x v="1"/>
    <x v="7"/>
    <x v="45"/>
    <x v="0"/>
    <x v="3"/>
    <x v="2"/>
    <n v="455.37"/>
    <n v="1366.1100000000001"/>
    <x v="390"/>
    <x v="388"/>
    <x v="0"/>
    <x v="1"/>
  </r>
  <r>
    <s v="ORD392"/>
    <x v="391"/>
    <s v="Customer_46"/>
    <x v="1"/>
    <x v="2"/>
    <x v="33"/>
    <x v="0"/>
    <x v="2"/>
    <x v="6"/>
    <n v="202.92"/>
    <n v="1826.28"/>
    <x v="391"/>
    <x v="389"/>
    <x v="1"/>
    <x v="2"/>
  </r>
  <r>
    <s v="ORD393"/>
    <x v="392"/>
    <s v="Customer_200"/>
    <x v="1"/>
    <x v="6"/>
    <x v="73"/>
    <x v="0"/>
    <x v="0"/>
    <x v="6"/>
    <n v="124.58"/>
    <n v="1121.22"/>
    <x v="392"/>
    <x v="390"/>
    <x v="0"/>
    <x v="1"/>
  </r>
  <r>
    <s v="ORD394"/>
    <x v="393"/>
    <s v="Customer_199"/>
    <x v="0"/>
    <x v="0"/>
    <x v="3"/>
    <x v="0"/>
    <x v="2"/>
    <x v="5"/>
    <n v="358.1"/>
    <n v="358.1"/>
    <x v="393"/>
    <x v="391"/>
    <x v="0"/>
    <x v="2"/>
  </r>
  <r>
    <s v="ORD395"/>
    <x v="394"/>
    <s v="Customer_171"/>
    <x v="1"/>
    <x v="2"/>
    <x v="2"/>
    <x v="0"/>
    <x v="0"/>
    <x v="8"/>
    <n v="478.46"/>
    <n v="2392.2999999999997"/>
    <x v="394"/>
    <x v="392"/>
    <x v="1"/>
    <x v="2"/>
  </r>
  <r>
    <s v="ORD396"/>
    <x v="395"/>
    <s v="Customer_154"/>
    <x v="0"/>
    <x v="1"/>
    <x v="1"/>
    <x v="0"/>
    <x v="0"/>
    <x v="9"/>
    <n v="497.68"/>
    <n v="995.36"/>
    <x v="395"/>
    <x v="393"/>
    <x v="0"/>
    <x v="1"/>
  </r>
  <r>
    <s v="ORD397"/>
    <x v="396"/>
    <s v="Customer_14"/>
    <x v="2"/>
    <x v="3"/>
    <x v="48"/>
    <x v="0"/>
    <x v="3"/>
    <x v="3"/>
    <n v="209.64"/>
    <n v="2096.3999999999996"/>
    <x v="396"/>
    <x v="394"/>
    <x v="1"/>
    <x v="1"/>
  </r>
  <r>
    <s v="ORD398"/>
    <x v="397"/>
    <s v="Customer_179"/>
    <x v="4"/>
    <x v="8"/>
    <x v="28"/>
    <x v="0"/>
    <x v="2"/>
    <x v="8"/>
    <n v="30.42"/>
    <n v="152.10000000000002"/>
    <x v="397"/>
    <x v="395"/>
    <x v="0"/>
    <x v="2"/>
  </r>
  <r>
    <s v="ORD399"/>
    <x v="398"/>
    <s v="Customer_125"/>
    <x v="0"/>
    <x v="12"/>
    <x v="60"/>
    <x v="0"/>
    <x v="3"/>
    <x v="4"/>
    <n v="438.69"/>
    <n v="3070.83"/>
    <x v="398"/>
    <x v="396"/>
    <x v="1"/>
    <x v="1"/>
  </r>
  <r>
    <s v="ORD400"/>
    <x v="399"/>
    <s v="Customer_3"/>
    <x v="0"/>
    <x v="0"/>
    <x v="20"/>
    <x v="0"/>
    <x v="3"/>
    <x v="8"/>
    <n v="132.04"/>
    <n v="660.19999999999993"/>
    <x v="399"/>
    <x v="397"/>
    <x v="0"/>
    <x v="0"/>
  </r>
  <r>
    <s v="ORD401"/>
    <x v="400"/>
    <s v="Customer_41"/>
    <x v="0"/>
    <x v="12"/>
    <x v="60"/>
    <x v="0"/>
    <x v="3"/>
    <x v="1"/>
    <n v="272.05"/>
    <n v="2176.4"/>
    <x v="400"/>
    <x v="398"/>
    <x v="1"/>
    <x v="0"/>
  </r>
  <r>
    <s v="ORD402"/>
    <x v="401"/>
    <s v="Customer_58"/>
    <x v="0"/>
    <x v="1"/>
    <x v="32"/>
    <x v="0"/>
    <x v="0"/>
    <x v="8"/>
    <n v="486.28"/>
    <n v="2431.3999999999996"/>
    <x v="401"/>
    <x v="399"/>
    <x v="1"/>
    <x v="2"/>
  </r>
  <r>
    <s v="ORD403"/>
    <x v="402"/>
    <s v="Customer_130"/>
    <x v="0"/>
    <x v="15"/>
    <x v="37"/>
    <x v="0"/>
    <x v="1"/>
    <x v="7"/>
    <n v="181.47"/>
    <n v="1088.82"/>
    <x v="402"/>
    <x v="400"/>
    <x v="0"/>
    <x v="1"/>
  </r>
  <r>
    <s v="ORD404"/>
    <x v="403"/>
    <s v="Customer_152"/>
    <x v="2"/>
    <x v="3"/>
    <x v="4"/>
    <x v="0"/>
    <x v="1"/>
    <x v="5"/>
    <n v="102.34"/>
    <n v="102.34"/>
    <x v="403"/>
    <x v="401"/>
    <x v="0"/>
    <x v="2"/>
  </r>
  <r>
    <s v="ORD405"/>
    <x v="404"/>
    <s v="Customer_3"/>
    <x v="2"/>
    <x v="13"/>
    <x v="56"/>
    <x v="0"/>
    <x v="2"/>
    <x v="7"/>
    <n v="154.41"/>
    <n v="926.46"/>
    <x v="404"/>
    <x v="402"/>
    <x v="0"/>
    <x v="1"/>
  </r>
  <r>
    <s v="ORD406"/>
    <x v="405"/>
    <s v="Customer_127"/>
    <x v="0"/>
    <x v="9"/>
    <x v="74"/>
    <x v="0"/>
    <x v="1"/>
    <x v="5"/>
    <n v="203.92"/>
    <n v="203.92"/>
    <x v="405"/>
    <x v="403"/>
    <x v="0"/>
    <x v="2"/>
  </r>
  <r>
    <s v="ORD407"/>
    <x v="406"/>
    <s v="Customer_163"/>
    <x v="0"/>
    <x v="1"/>
    <x v="12"/>
    <x v="0"/>
    <x v="2"/>
    <x v="1"/>
    <n v="193.36"/>
    <n v="1546.88"/>
    <x v="406"/>
    <x v="404"/>
    <x v="1"/>
    <x v="0"/>
  </r>
  <r>
    <s v="ORD408"/>
    <x v="407"/>
    <s v="Customer_131"/>
    <x v="2"/>
    <x v="3"/>
    <x v="35"/>
    <x v="0"/>
    <x v="0"/>
    <x v="3"/>
    <n v="323.57"/>
    <n v="3235.7"/>
    <x v="407"/>
    <x v="405"/>
    <x v="1"/>
    <x v="0"/>
  </r>
  <r>
    <s v="ORD409"/>
    <x v="408"/>
    <s v="Customer_102"/>
    <x v="4"/>
    <x v="5"/>
    <x v="75"/>
    <x v="0"/>
    <x v="1"/>
    <x v="0"/>
    <n v="112.74"/>
    <n v="450.96"/>
    <x v="408"/>
    <x v="406"/>
    <x v="0"/>
    <x v="0"/>
  </r>
  <r>
    <s v="ORD410"/>
    <x v="409"/>
    <s v="Customer_66"/>
    <x v="2"/>
    <x v="13"/>
    <x v="23"/>
    <x v="0"/>
    <x v="3"/>
    <x v="1"/>
    <n v="269.8"/>
    <n v="2158.4"/>
    <x v="409"/>
    <x v="407"/>
    <x v="1"/>
    <x v="1"/>
  </r>
  <r>
    <s v="ORD411"/>
    <x v="410"/>
    <s v="Customer_78"/>
    <x v="0"/>
    <x v="15"/>
    <x v="49"/>
    <x v="0"/>
    <x v="0"/>
    <x v="9"/>
    <n v="233.28"/>
    <n v="466.56"/>
    <x v="410"/>
    <x v="408"/>
    <x v="0"/>
    <x v="1"/>
  </r>
  <r>
    <s v="ORD412"/>
    <x v="411"/>
    <s v="Customer_10"/>
    <x v="1"/>
    <x v="7"/>
    <x v="27"/>
    <x v="0"/>
    <x v="0"/>
    <x v="5"/>
    <n v="472.82"/>
    <n v="472.82"/>
    <x v="411"/>
    <x v="409"/>
    <x v="0"/>
    <x v="1"/>
  </r>
  <r>
    <s v="ORD413"/>
    <x v="412"/>
    <s v="Customer_23"/>
    <x v="4"/>
    <x v="8"/>
    <x v="30"/>
    <x v="0"/>
    <x v="0"/>
    <x v="3"/>
    <n v="148.99"/>
    <n v="1489.9"/>
    <x v="412"/>
    <x v="410"/>
    <x v="0"/>
    <x v="2"/>
  </r>
  <r>
    <s v="ORD414"/>
    <x v="413"/>
    <s v="Customer_104"/>
    <x v="3"/>
    <x v="4"/>
    <x v="55"/>
    <x v="0"/>
    <x v="2"/>
    <x v="8"/>
    <n v="277.35000000000002"/>
    <n v="1386.75"/>
    <x v="413"/>
    <x v="411"/>
    <x v="0"/>
    <x v="1"/>
  </r>
  <r>
    <s v="ORD415"/>
    <x v="414"/>
    <s v="Customer_5"/>
    <x v="2"/>
    <x v="3"/>
    <x v="17"/>
    <x v="0"/>
    <x v="0"/>
    <x v="0"/>
    <n v="303.87"/>
    <n v="1215.48"/>
    <x v="414"/>
    <x v="412"/>
    <x v="0"/>
    <x v="2"/>
  </r>
  <r>
    <s v="ORD416"/>
    <x v="415"/>
    <s v="Customer_161"/>
    <x v="2"/>
    <x v="11"/>
    <x v="54"/>
    <x v="0"/>
    <x v="0"/>
    <x v="5"/>
    <n v="241.22"/>
    <n v="241.22"/>
    <x v="415"/>
    <x v="413"/>
    <x v="0"/>
    <x v="2"/>
  </r>
  <r>
    <s v="ORD417"/>
    <x v="416"/>
    <s v="Customer_158"/>
    <x v="0"/>
    <x v="9"/>
    <x v="14"/>
    <x v="0"/>
    <x v="2"/>
    <x v="9"/>
    <n v="249.88"/>
    <n v="499.76"/>
    <x v="416"/>
    <x v="414"/>
    <x v="0"/>
    <x v="2"/>
  </r>
  <r>
    <s v="ORD418"/>
    <x v="417"/>
    <s v="Customer_131"/>
    <x v="0"/>
    <x v="0"/>
    <x v="78"/>
    <x v="0"/>
    <x v="2"/>
    <x v="0"/>
    <n v="294.60000000000002"/>
    <n v="1178.4000000000001"/>
    <x v="417"/>
    <x v="415"/>
    <x v="0"/>
    <x v="1"/>
  </r>
  <r>
    <s v="ORD419"/>
    <x v="418"/>
    <s v="Customer_66"/>
    <x v="0"/>
    <x v="9"/>
    <x v="46"/>
    <x v="0"/>
    <x v="2"/>
    <x v="1"/>
    <n v="405.18"/>
    <n v="3241.44"/>
    <x v="418"/>
    <x v="416"/>
    <x v="1"/>
    <x v="1"/>
  </r>
  <r>
    <s v="ORD420"/>
    <x v="419"/>
    <s v="Customer_117"/>
    <x v="0"/>
    <x v="15"/>
    <x v="67"/>
    <x v="0"/>
    <x v="0"/>
    <x v="2"/>
    <n v="231.46"/>
    <n v="694.38"/>
    <x v="419"/>
    <x v="417"/>
    <x v="0"/>
    <x v="2"/>
  </r>
  <r>
    <s v="ORD421"/>
    <x v="420"/>
    <s v="Customer_145"/>
    <x v="1"/>
    <x v="14"/>
    <x v="43"/>
    <x v="0"/>
    <x v="3"/>
    <x v="9"/>
    <n v="252.69"/>
    <n v="505.38"/>
    <x v="420"/>
    <x v="418"/>
    <x v="0"/>
    <x v="0"/>
  </r>
  <r>
    <s v="ORD422"/>
    <x v="421"/>
    <s v="Customer_196"/>
    <x v="2"/>
    <x v="13"/>
    <x v="56"/>
    <x v="0"/>
    <x v="0"/>
    <x v="5"/>
    <n v="234.41"/>
    <n v="234.41"/>
    <x v="421"/>
    <x v="419"/>
    <x v="0"/>
    <x v="2"/>
  </r>
  <r>
    <s v="ORD423"/>
    <x v="422"/>
    <s v="Customer_121"/>
    <x v="2"/>
    <x v="3"/>
    <x v="51"/>
    <x v="0"/>
    <x v="1"/>
    <x v="8"/>
    <n v="260.23"/>
    <n v="1301.1500000000001"/>
    <x v="422"/>
    <x v="420"/>
    <x v="0"/>
    <x v="0"/>
  </r>
  <r>
    <s v="ORD424"/>
    <x v="423"/>
    <s v="Customer_130"/>
    <x v="0"/>
    <x v="1"/>
    <x v="44"/>
    <x v="0"/>
    <x v="0"/>
    <x v="5"/>
    <n v="57.65"/>
    <n v="57.65"/>
    <x v="423"/>
    <x v="421"/>
    <x v="0"/>
    <x v="2"/>
  </r>
  <r>
    <s v="ORD425"/>
    <x v="424"/>
    <s v="Customer_39"/>
    <x v="0"/>
    <x v="0"/>
    <x v="20"/>
    <x v="0"/>
    <x v="0"/>
    <x v="8"/>
    <n v="321.45"/>
    <n v="1607.25"/>
    <x v="424"/>
    <x v="422"/>
    <x v="0"/>
    <x v="0"/>
  </r>
  <r>
    <s v="ORD426"/>
    <x v="425"/>
    <s v="Customer_26"/>
    <x v="4"/>
    <x v="5"/>
    <x v="8"/>
    <x v="0"/>
    <x v="3"/>
    <x v="0"/>
    <n v="393.57"/>
    <n v="1574.28"/>
    <x v="425"/>
    <x v="423"/>
    <x v="1"/>
    <x v="0"/>
  </r>
  <r>
    <s v="ORD427"/>
    <x v="426"/>
    <s v="Customer_148"/>
    <x v="1"/>
    <x v="7"/>
    <x v="31"/>
    <x v="0"/>
    <x v="2"/>
    <x v="7"/>
    <n v="292.48"/>
    <n v="1754.88"/>
    <x v="426"/>
    <x v="424"/>
    <x v="1"/>
    <x v="1"/>
  </r>
  <r>
    <s v="ORD428"/>
    <x v="427"/>
    <s v="Customer_15"/>
    <x v="2"/>
    <x v="13"/>
    <x v="23"/>
    <x v="0"/>
    <x v="2"/>
    <x v="5"/>
    <n v="86.07"/>
    <n v="86.07"/>
    <x v="427"/>
    <x v="425"/>
    <x v="0"/>
    <x v="1"/>
  </r>
  <r>
    <s v="ORD429"/>
    <x v="428"/>
    <s v="Customer_71"/>
    <x v="2"/>
    <x v="11"/>
    <x v="19"/>
    <x v="0"/>
    <x v="0"/>
    <x v="9"/>
    <n v="113.05"/>
    <n v="226.1"/>
    <x v="428"/>
    <x v="426"/>
    <x v="0"/>
    <x v="0"/>
  </r>
  <r>
    <s v="ORD430"/>
    <x v="429"/>
    <s v="Customer_165"/>
    <x v="0"/>
    <x v="15"/>
    <x v="37"/>
    <x v="0"/>
    <x v="2"/>
    <x v="4"/>
    <n v="373.09"/>
    <n v="2611.6299999999997"/>
    <x v="429"/>
    <x v="427"/>
    <x v="1"/>
    <x v="1"/>
  </r>
  <r>
    <s v="ORD431"/>
    <x v="430"/>
    <s v="Customer_179"/>
    <x v="2"/>
    <x v="13"/>
    <x v="23"/>
    <x v="0"/>
    <x v="2"/>
    <x v="1"/>
    <n v="110.67"/>
    <n v="885.36"/>
    <x v="430"/>
    <x v="428"/>
    <x v="0"/>
    <x v="0"/>
  </r>
  <r>
    <s v="ORD432"/>
    <x v="431"/>
    <s v="Customer_78"/>
    <x v="0"/>
    <x v="1"/>
    <x v="32"/>
    <x v="0"/>
    <x v="1"/>
    <x v="3"/>
    <n v="87.34"/>
    <n v="873.40000000000009"/>
    <x v="431"/>
    <x v="429"/>
    <x v="0"/>
    <x v="0"/>
  </r>
  <r>
    <s v="ORD433"/>
    <x v="432"/>
    <s v="Customer_151"/>
    <x v="4"/>
    <x v="10"/>
    <x v="66"/>
    <x v="0"/>
    <x v="2"/>
    <x v="6"/>
    <n v="292.91000000000003"/>
    <n v="2636.19"/>
    <x v="432"/>
    <x v="430"/>
    <x v="1"/>
    <x v="0"/>
  </r>
  <r>
    <s v="ORD434"/>
    <x v="433"/>
    <s v="Customer_9"/>
    <x v="1"/>
    <x v="7"/>
    <x v="31"/>
    <x v="0"/>
    <x v="0"/>
    <x v="8"/>
    <n v="359.41"/>
    <n v="1797.0500000000002"/>
    <x v="433"/>
    <x v="431"/>
    <x v="1"/>
    <x v="0"/>
  </r>
  <r>
    <s v="ORD435"/>
    <x v="434"/>
    <s v="Customer_24"/>
    <x v="0"/>
    <x v="0"/>
    <x v="0"/>
    <x v="0"/>
    <x v="1"/>
    <x v="1"/>
    <n v="412.52"/>
    <n v="3300.16"/>
    <x v="434"/>
    <x v="432"/>
    <x v="1"/>
    <x v="1"/>
  </r>
  <r>
    <s v="ORD436"/>
    <x v="435"/>
    <s v="Customer_46"/>
    <x v="1"/>
    <x v="2"/>
    <x v="2"/>
    <x v="0"/>
    <x v="3"/>
    <x v="5"/>
    <n v="330.72"/>
    <n v="330.72"/>
    <x v="435"/>
    <x v="433"/>
    <x v="0"/>
    <x v="2"/>
  </r>
  <r>
    <s v="ORD437"/>
    <x v="436"/>
    <s v="Customer_174"/>
    <x v="0"/>
    <x v="12"/>
    <x v="21"/>
    <x v="0"/>
    <x v="1"/>
    <x v="4"/>
    <n v="169.33"/>
    <n v="1185.3100000000002"/>
    <x v="436"/>
    <x v="434"/>
    <x v="0"/>
    <x v="1"/>
  </r>
  <r>
    <s v="ORD438"/>
    <x v="437"/>
    <s v="Customer_35"/>
    <x v="4"/>
    <x v="5"/>
    <x v="8"/>
    <x v="0"/>
    <x v="3"/>
    <x v="1"/>
    <n v="61.49"/>
    <n v="491.92"/>
    <x v="437"/>
    <x v="435"/>
    <x v="0"/>
    <x v="1"/>
  </r>
  <r>
    <s v="ORD439"/>
    <x v="438"/>
    <s v="Customer_45"/>
    <x v="3"/>
    <x v="4"/>
    <x v="5"/>
    <x v="0"/>
    <x v="1"/>
    <x v="7"/>
    <n v="158.63"/>
    <n v="951.78"/>
    <x v="438"/>
    <x v="436"/>
    <x v="0"/>
    <x v="2"/>
  </r>
  <r>
    <s v="ORD440"/>
    <x v="439"/>
    <s v="Customer_174"/>
    <x v="1"/>
    <x v="2"/>
    <x v="25"/>
    <x v="0"/>
    <x v="0"/>
    <x v="2"/>
    <n v="56.65"/>
    <n v="169.95"/>
    <x v="439"/>
    <x v="437"/>
    <x v="0"/>
    <x v="1"/>
  </r>
  <r>
    <s v="ORD441"/>
    <x v="440"/>
    <s v="Customer_180"/>
    <x v="1"/>
    <x v="7"/>
    <x v="45"/>
    <x v="0"/>
    <x v="1"/>
    <x v="1"/>
    <n v="338.62"/>
    <n v="2708.96"/>
    <x v="440"/>
    <x v="438"/>
    <x v="1"/>
    <x v="1"/>
  </r>
  <r>
    <s v="ORD442"/>
    <x v="441"/>
    <s v="Customer_145"/>
    <x v="4"/>
    <x v="10"/>
    <x v="69"/>
    <x v="0"/>
    <x v="0"/>
    <x v="7"/>
    <n v="342.64"/>
    <n v="2055.84"/>
    <x v="441"/>
    <x v="439"/>
    <x v="1"/>
    <x v="1"/>
  </r>
  <r>
    <s v="ORD443"/>
    <x v="442"/>
    <s v="Customer_128"/>
    <x v="0"/>
    <x v="12"/>
    <x v="21"/>
    <x v="0"/>
    <x v="3"/>
    <x v="4"/>
    <n v="131.63"/>
    <n v="921.41"/>
    <x v="442"/>
    <x v="440"/>
    <x v="0"/>
    <x v="2"/>
  </r>
  <r>
    <s v="ORD444"/>
    <x v="443"/>
    <s v="Customer_28"/>
    <x v="0"/>
    <x v="1"/>
    <x v="57"/>
    <x v="0"/>
    <x v="2"/>
    <x v="1"/>
    <n v="237.5"/>
    <n v="1900"/>
    <x v="443"/>
    <x v="441"/>
    <x v="1"/>
    <x v="1"/>
  </r>
  <r>
    <s v="ORD445"/>
    <x v="444"/>
    <s v="Customer_21"/>
    <x v="0"/>
    <x v="15"/>
    <x v="37"/>
    <x v="0"/>
    <x v="2"/>
    <x v="4"/>
    <n v="128.86000000000001"/>
    <n v="902.0200000000001"/>
    <x v="444"/>
    <x v="442"/>
    <x v="0"/>
    <x v="0"/>
  </r>
  <r>
    <s v="ORD446"/>
    <x v="445"/>
    <s v="Customer_139"/>
    <x v="1"/>
    <x v="2"/>
    <x v="77"/>
    <x v="0"/>
    <x v="1"/>
    <x v="9"/>
    <n v="113.93"/>
    <n v="227.86"/>
    <x v="445"/>
    <x v="443"/>
    <x v="0"/>
    <x v="1"/>
  </r>
  <r>
    <s v="ORD447"/>
    <x v="446"/>
    <s v="Customer_133"/>
    <x v="4"/>
    <x v="10"/>
    <x v="69"/>
    <x v="0"/>
    <x v="0"/>
    <x v="6"/>
    <n v="355.7"/>
    <n v="3201.2999999999997"/>
    <x v="446"/>
    <x v="444"/>
    <x v="1"/>
    <x v="1"/>
  </r>
  <r>
    <s v="ORD448"/>
    <x v="447"/>
    <s v="Customer_180"/>
    <x v="1"/>
    <x v="6"/>
    <x v="9"/>
    <x v="0"/>
    <x v="1"/>
    <x v="9"/>
    <n v="321.05"/>
    <n v="642.1"/>
    <x v="447"/>
    <x v="445"/>
    <x v="0"/>
    <x v="1"/>
  </r>
  <r>
    <s v="ORD449"/>
    <x v="448"/>
    <s v="Customer_51"/>
    <x v="4"/>
    <x v="10"/>
    <x v="70"/>
    <x v="0"/>
    <x v="2"/>
    <x v="1"/>
    <n v="194.66"/>
    <n v="1557.28"/>
    <x v="448"/>
    <x v="446"/>
    <x v="1"/>
    <x v="1"/>
  </r>
  <r>
    <s v="ORD450"/>
    <x v="449"/>
    <s v="Customer_126"/>
    <x v="0"/>
    <x v="1"/>
    <x v="57"/>
    <x v="0"/>
    <x v="1"/>
    <x v="2"/>
    <n v="156.66"/>
    <n v="469.98"/>
    <x v="449"/>
    <x v="447"/>
    <x v="0"/>
    <x v="0"/>
  </r>
  <r>
    <s v="ORD451"/>
    <x v="450"/>
    <s v="Customer_118"/>
    <x v="0"/>
    <x v="9"/>
    <x v="74"/>
    <x v="0"/>
    <x v="2"/>
    <x v="4"/>
    <n v="163.22999999999999"/>
    <n v="1142.6099999999999"/>
    <x v="450"/>
    <x v="448"/>
    <x v="0"/>
    <x v="1"/>
  </r>
  <r>
    <s v="ORD452"/>
    <x v="451"/>
    <s v="Customer_109"/>
    <x v="0"/>
    <x v="1"/>
    <x v="12"/>
    <x v="0"/>
    <x v="3"/>
    <x v="8"/>
    <n v="345.43"/>
    <n v="1727.15"/>
    <x v="451"/>
    <x v="449"/>
    <x v="1"/>
    <x v="2"/>
  </r>
  <r>
    <s v="ORD453"/>
    <x v="452"/>
    <s v="Customer_53"/>
    <x v="0"/>
    <x v="12"/>
    <x v="71"/>
    <x v="0"/>
    <x v="0"/>
    <x v="5"/>
    <n v="73.16"/>
    <n v="73.16"/>
    <x v="452"/>
    <x v="450"/>
    <x v="0"/>
    <x v="0"/>
  </r>
  <r>
    <s v="ORD454"/>
    <x v="453"/>
    <s v="Customer_60"/>
    <x v="0"/>
    <x v="15"/>
    <x v="52"/>
    <x v="0"/>
    <x v="2"/>
    <x v="2"/>
    <n v="244.98"/>
    <n v="734.93999999999994"/>
    <x v="453"/>
    <x v="451"/>
    <x v="0"/>
    <x v="0"/>
  </r>
  <r>
    <s v="ORD455"/>
    <x v="454"/>
    <s v="Customer_83"/>
    <x v="1"/>
    <x v="7"/>
    <x v="11"/>
    <x v="0"/>
    <x v="2"/>
    <x v="7"/>
    <n v="53.06"/>
    <n v="318.36"/>
    <x v="454"/>
    <x v="452"/>
    <x v="0"/>
    <x v="0"/>
  </r>
  <r>
    <s v="ORD456"/>
    <x v="455"/>
    <s v="Customer_149"/>
    <x v="0"/>
    <x v="15"/>
    <x v="67"/>
    <x v="0"/>
    <x v="0"/>
    <x v="6"/>
    <n v="274.45"/>
    <n v="2470.0499999999997"/>
    <x v="455"/>
    <x v="453"/>
    <x v="1"/>
    <x v="1"/>
  </r>
  <r>
    <s v="ORD457"/>
    <x v="456"/>
    <s v="Customer_117"/>
    <x v="0"/>
    <x v="9"/>
    <x v="74"/>
    <x v="0"/>
    <x v="2"/>
    <x v="9"/>
    <n v="185.55"/>
    <n v="371.1"/>
    <x v="456"/>
    <x v="454"/>
    <x v="0"/>
    <x v="2"/>
  </r>
  <r>
    <s v="ORD458"/>
    <x v="457"/>
    <s v="Customer_84"/>
    <x v="1"/>
    <x v="14"/>
    <x v="76"/>
    <x v="0"/>
    <x v="3"/>
    <x v="1"/>
    <n v="132.43"/>
    <n v="1059.44"/>
    <x v="457"/>
    <x v="455"/>
    <x v="0"/>
    <x v="0"/>
  </r>
  <r>
    <s v="ORD459"/>
    <x v="458"/>
    <s v="Customer_82"/>
    <x v="0"/>
    <x v="9"/>
    <x v="36"/>
    <x v="0"/>
    <x v="2"/>
    <x v="4"/>
    <n v="70.69"/>
    <n v="494.83"/>
    <x v="458"/>
    <x v="456"/>
    <x v="0"/>
    <x v="0"/>
  </r>
  <r>
    <s v="ORD460"/>
    <x v="459"/>
    <s v="Customer_15"/>
    <x v="1"/>
    <x v="2"/>
    <x v="39"/>
    <x v="0"/>
    <x v="3"/>
    <x v="8"/>
    <n v="107.27"/>
    <n v="536.35"/>
    <x v="459"/>
    <x v="457"/>
    <x v="0"/>
    <x v="0"/>
  </r>
  <r>
    <s v="ORD461"/>
    <x v="460"/>
    <s v="Customer_156"/>
    <x v="1"/>
    <x v="14"/>
    <x v="63"/>
    <x v="0"/>
    <x v="2"/>
    <x v="5"/>
    <n v="205.92"/>
    <n v="205.92"/>
    <x v="460"/>
    <x v="458"/>
    <x v="0"/>
    <x v="2"/>
  </r>
  <r>
    <s v="ORD462"/>
    <x v="461"/>
    <s v="Customer_32"/>
    <x v="3"/>
    <x v="4"/>
    <x v="5"/>
    <x v="0"/>
    <x v="3"/>
    <x v="7"/>
    <n v="169.27"/>
    <n v="1015.6200000000001"/>
    <x v="461"/>
    <x v="459"/>
    <x v="0"/>
    <x v="0"/>
  </r>
  <r>
    <s v="ORD463"/>
    <x v="462"/>
    <s v="Customer_167"/>
    <x v="0"/>
    <x v="9"/>
    <x v="46"/>
    <x v="0"/>
    <x v="2"/>
    <x v="0"/>
    <n v="210.37"/>
    <n v="841.48"/>
    <x v="462"/>
    <x v="460"/>
    <x v="0"/>
    <x v="0"/>
  </r>
  <r>
    <s v="ORD464"/>
    <x v="463"/>
    <s v="Customer_131"/>
    <x v="1"/>
    <x v="14"/>
    <x v="76"/>
    <x v="0"/>
    <x v="1"/>
    <x v="6"/>
    <n v="326.83"/>
    <n v="2941.47"/>
    <x v="463"/>
    <x v="461"/>
    <x v="1"/>
    <x v="1"/>
  </r>
  <r>
    <s v="ORD465"/>
    <x v="464"/>
    <s v="Customer_35"/>
    <x v="4"/>
    <x v="10"/>
    <x v="69"/>
    <x v="0"/>
    <x v="1"/>
    <x v="7"/>
    <n v="440.28"/>
    <n v="2641.68"/>
    <x v="464"/>
    <x v="462"/>
    <x v="1"/>
    <x v="1"/>
  </r>
  <r>
    <s v="ORD466"/>
    <x v="465"/>
    <s v="Customer_108"/>
    <x v="2"/>
    <x v="13"/>
    <x v="23"/>
    <x v="0"/>
    <x v="3"/>
    <x v="1"/>
    <n v="138.07"/>
    <n v="1104.56"/>
    <x v="465"/>
    <x v="463"/>
    <x v="0"/>
    <x v="0"/>
  </r>
  <r>
    <s v="ORD467"/>
    <x v="466"/>
    <s v="Customer_178"/>
    <x v="0"/>
    <x v="9"/>
    <x v="16"/>
    <x v="0"/>
    <x v="3"/>
    <x v="1"/>
    <n v="71.69"/>
    <n v="573.52"/>
    <x v="466"/>
    <x v="464"/>
    <x v="0"/>
    <x v="1"/>
  </r>
  <r>
    <s v="ORD468"/>
    <x v="467"/>
    <s v="Customer_52"/>
    <x v="1"/>
    <x v="7"/>
    <x v="45"/>
    <x v="0"/>
    <x v="0"/>
    <x v="0"/>
    <n v="449.03"/>
    <n v="1796.12"/>
    <x v="467"/>
    <x v="465"/>
    <x v="1"/>
    <x v="2"/>
  </r>
  <r>
    <s v="ORD469"/>
    <x v="468"/>
    <s v="Customer_140"/>
    <x v="1"/>
    <x v="7"/>
    <x v="45"/>
    <x v="0"/>
    <x v="1"/>
    <x v="8"/>
    <n v="108.53"/>
    <n v="542.65"/>
    <x v="468"/>
    <x v="466"/>
    <x v="0"/>
    <x v="2"/>
  </r>
  <r>
    <s v="ORD470"/>
    <x v="469"/>
    <s v="Customer_1"/>
    <x v="4"/>
    <x v="10"/>
    <x v="69"/>
    <x v="0"/>
    <x v="2"/>
    <x v="6"/>
    <n v="358.16"/>
    <n v="3223.44"/>
    <x v="469"/>
    <x v="467"/>
    <x v="1"/>
    <x v="1"/>
  </r>
  <r>
    <s v="ORD471"/>
    <x v="470"/>
    <s v="Customer_44"/>
    <x v="4"/>
    <x v="10"/>
    <x v="70"/>
    <x v="0"/>
    <x v="0"/>
    <x v="2"/>
    <n v="380.01"/>
    <n v="1140.03"/>
    <x v="470"/>
    <x v="468"/>
    <x v="0"/>
    <x v="0"/>
  </r>
  <r>
    <s v="ORD472"/>
    <x v="471"/>
    <s v="Customer_148"/>
    <x v="0"/>
    <x v="15"/>
    <x v="67"/>
    <x v="0"/>
    <x v="3"/>
    <x v="3"/>
    <n v="258.70999999999998"/>
    <n v="2587.1"/>
    <x v="471"/>
    <x v="469"/>
    <x v="1"/>
    <x v="0"/>
  </r>
  <r>
    <s v="ORD473"/>
    <x v="472"/>
    <s v="Customer_18"/>
    <x v="0"/>
    <x v="9"/>
    <x v="74"/>
    <x v="0"/>
    <x v="0"/>
    <x v="7"/>
    <n v="305.94"/>
    <n v="1835.6399999999999"/>
    <x v="472"/>
    <x v="470"/>
    <x v="1"/>
    <x v="2"/>
  </r>
  <r>
    <s v="ORD474"/>
    <x v="473"/>
    <s v="Customer_196"/>
    <x v="1"/>
    <x v="14"/>
    <x v="58"/>
    <x v="0"/>
    <x v="2"/>
    <x v="0"/>
    <n v="295.31"/>
    <n v="1181.24"/>
    <x v="473"/>
    <x v="471"/>
    <x v="0"/>
    <x v="0"/>
  </r>
  <r>
    <s v="ORD475"/>
    <x v="474"/>
    <s v="Customer_102"/>
    <x v="0"/>
    <x v="9"/>
    <x v="74"/>
    <x v="0"/>
    <x v="3"/>
    <x v="2"/>
    <n v="462.91"/>
    <n v="1388.73"/>
    <x v="474"/>
    <x v="472"/>
    <x v="0"/>
    <x v="1"/>
  </r>
  <r>
    <s v="ORD476"/>
    <x v="475"/>
    <s v="Customer_49"/>
    <x v="1"/>
    <x v="14"/>
    <x v="26"/>
    <x v="0"/>
    <x v="3"/>
    <x v="7"/>
    <n v="478.85"/>
    <n v="2873.1000000000004"/>
    <x v="475"/>
    <x v="473"/>
    <x v="1"/>
    <x v="0"/>
  </r>
  <r>
    <s v="ORD477"/>
    <x v="476"/>
    <s v="Customer_92"/>
    <x v="0"/>
    <x v="15"/>
    <x v="49"/>
    <x v="0"/>
    <x v="1"/>
    <x v="5"/>
    <n v="285.2"/>
    <n v="285.2"/>
    <x v="476"/>
    <x v="474"/>
    <x v="0"/>
    <x v="1"/>
  </r>
  <r>
    <s v="ORD478"/>
    <x v="477"/>
    <s v="Customer_186"/>
    <x v="2"/>
    <x v="13"/>
    <x v="62"/>
    <x v="0"/>
    <x v="2"/>
    <x v="4"/>
    <n v="177.78"/>
    <n v="1244.46"/>
    <x v="477"/>
    <x v="475"/>
    <x v="0"/>
    <x v="0"/>
  </r>
  <r>
    <s v="ORD479"/>
    <x v="478"/>
    <s v="Customer_181"/>
    <x v="2"/>
    <x v="3"/>
    <x v="35"/>
    <x v="0"/>
    <x v="2"/>
    <x v="0"/>
    <n v="417.25"/>
    <n v="1669"/>
    <x v="478"/>
    <x v="476"/>
    <x v="1"/>
    <x v="1"/>
  </r>
  <r>
    <s v="ORD480"/>
    <x v="479"/>
    <s v="Customer_168"/>
    <x v="0"/>
    <x v="12"/>
    <x v="65"/>
    <x v="0"/>
    <x v="2"/>
    <x v="8"/>
    <n v="182.38"/>
    <n v="911.9"/>
    <x v="479"/>
    <x v="477"/>
    <x v="0"/>
    <x v="2"/>
  </r>
  <r>
    <s v="ORD481"/>
    <x v="480"/>
    <s v="Customer_145"/>
    <x v="2"/>
    <x v="3"/>
    <x v="17"/>
    <x v="0"/>
    <x v="0"/>
    <x v="5"/>
    <n v="258.97000000000003"/>
    <n v="258.97000000000003"/>
    <x v="480"/>
    <x v="478"/>
    <x v="0"/>
    <x v="2"/>
  </r>
  <r>
    <s v="ORD482"/>
    <x v="481"/>
    <s v="Customer_28"/>
    <x v="0"/>
    <x v="0"/>
    <x v="0"/>
    <x v="0"/>
    <x v="3"/>
    <x v="3"/>
    <n v="333.75"/>
    <n v="3337.5"/>
    <x v="481"/>
    <x v="479"/>
    <x v="1"/>
    <x v="0"/>
  </r>
  <r>
    <s v="ORD483"/>
    <x v="482"/>
    <s v="Customer_124"/>
    <x v="1"/>
    <x v="7"/>
    <x v="38"/>
    <x v="0"/>
    <x v="1"/>
    <x v="9"/>
    <n v="437.12"/>
    <n v="874.24"/>
    <x v="482"/>
    <x v="480"/>
    <x v="0"/>
    <x v="2"/>
  </r>
  <r>
    <s v="ORD484"/>
    <x v="483"/>
    <s v="Customer_65"/>
    <x v="0"/>
    <x v="12"/>
    <x v="24"/>
    <x v="0"/>
    <x v="1"/>
    <x v="9"/>
    <n v="323.05"/>
    <n v="646.1"/>
    <x v="483"/>
    <x v="481"/>
    <x v="0"/>
    <x v="0"/>
  </r>
  <r>
    <s v="ORD485"/>
    <x v="484"/>
    <s v="Customer_126"/>
    <x v="2"/>
    <x v="13"/>
    <x v="34"/>
    <x v="0"/>
    <x v="2"/>
    <x v="1"/>
    <n v="246.48"/>
    <n v="1971.84"/>
    <x v="484"/>
    <x v="482"/>
    <x v="1"/>
    <x v="1"/>
  </r>
  <r>
    <s v="ORD486"/>
    <x v="485"/>
    <s v="Customer_102"/>
    <x v="2"/>
    <x v="13"/>
    <x v="34"/>
    <x v="0"/>
    <x v="1"/>
    <x v="2"/>
    <n v="353.38"/>
    <n v="1060.1399999999999"/>
    <x v="485"/>
    <x v="483"/>
    <x v="0"/>
    <x v="1"/>
  </r>
  <r>
    <s v="ORD487"/>
    <x v="486"/>
    <s v="Customer_65"/>
    <x v="2"/>
    <x v="11"/>
    <x v="47"/>
    <x v="0"/>
    <x v="3"/>
    <x v="0"/>
    <n v="93.38"/>
    <n v="373.52"/>
    <x v="486"/>
    <x v="484"/>
    <x v="0"/>
    <x v="2"/>
  </r>
  <r>
    <s v="ORD488"/>
    <x v="487"/>
    <s v="Customer_110"/>
    <x v="3"/>
    <x v="4"/>
    <x v="10"/>
    <x v="0"/>
    <x v="2"/>
    <x v="5"/>
    <n v="298.13"/>
    <n v="298.13"/>
    <x v="487"/>
    <x v="485"/>
    <x v="0"/>
    <x v="0"/>
  </r>
  <r>
    <s v="ORD489"/>
    <x v="488"/>
    <s v="Customer_130"/>
    <x v="1"/>
    <x v="2"/>
    <x v="39"/>
    <x v="0"/>
    <x v="2"/>
    <x v="6"/>
    <n v="219.13"/>
    <n v="1972.17"/>
    <x v="488"/>
    <x v="486"/>
    <x v="1"/>
    <x v="0"/>
  </r>
  <r>
    <s v="ORD490"/>
    <x v="489"/>
    <s v="Customer_67"/>
    <x v="3"/>
    <x v="4"/>
    <x v="40"/>
    <x v="0"/>
    <x v="1"/>
    <x v="8"/>
    <n v="372.01"/>
    <n v="1860.05"/>
    <x v="489"/>
    <x v="487"/>
    <x v="1"/>
    <x v="1"/>
  </r>
  <r>
    <s v="ORD491"/>
    <x v="490"/>
    <s v="Customer_156"/>
    <x v="4"/>
    <x v="8"/>
    <x v="72"/>
    <x v="0"/>
    <x v="1"/>
    <x v="1"/>
    <n v="360.44"/>
    <n v="2883.52"/>
    <x v="490"/>
    <x v="488"/>
    <x v="1"/>
    <x v="2"/>
  </r>
  <r>
    <s v="ORD492"/>
    <x v="491"/>
    <s v="Customer_178"/>
    <x v="4"/>
    <x v="8"/>
    <x v="61"/>
    <x v="0"/>
    <x v="3"/>
    <x v="4"/>
    <n v="392.83"/>
    <n v="2749.81"/>
    <x v="491"/>
    <x v="489"/>
    <x v="1"/>
    <x v="2"/>
  </r>
  <r>
    <s v="ORD493"/>
    <x v="492"/>
    <s v="Customer_98"/>
    <x v="1"/>
    <x v="14"/>
    <x v="43"/>
    <x v="0"/>
    <x v="0"/>
    <x v="8"/>
    <n v="188.14"/>
    <n v="940.69999999999993"/>
    <x v="492"/>
    <x v="490"/>
    <x v="0"/>
    <x v="1"/>
  </r>
  <r>
    <s v="ORD494"/>
    <x v="493"/>
    <s v="Customer_167"/>
    <x v="1"/>
    <x v="2"/>
    <x v="77"/>
    <x v="0"/>
    <x v="1"/>
    <x v="7"/>
    <n v="103.7"/>
    <n v="622.20000000000005"/>
    <x v="493"/>
    <x v="491"/>
    <x v="0"/>
    <x v="1"/>
  </r>
  <r>
    <s v="ORD495"/>
    <x v="494"/>
    <s v="Customer_176"/>
    <x v="4"/>
    <x v="10"/>
    <x v="15"/>
    <x v="0"/>
    <x v="2"/>
    <x v="6"/>
    <n v="304.17"/>
    <n v="2737.53"/>
    <x v="494"/>
    <x v="492"/>
    <x v="1"/>
    <x v="0"/>
  </r>
  <r>
    <s v="ORD496"/>
    <x v="495"/>
    <s v="Customer_136"/>
    <x v="1"/>
    <x v="7"/>
    <x v="27"/>
    <x v="0"/>
    <x v="2"/>
    <x v="1"/>
    <n v="172.1"/>
    <n v="1376.8"/>
    <x v="495"/>
    <x v="493"/>
    <x v="0"/>
    <x v="2"/>
  </r>
  <r>
    <s v="ORD497"/>
    <x v="496"/>
    <s v="Customer_142"/>
    <x v="1"/>
    <x v="7"/>
    <x v="27"/>
    <x v="0"/>
    <x v="3"/>
    <x v="2"/>
    <n v="244.27"/>
    <n v="732.81000000000006"/>
    <x v="496"/>
    <x v="494"/>
    <x v="0"/>
    <x v="1"/>
  </r>
  <r>
    <s v="ORD498"/>
    <x v="497"/>
    <s v="Customer_135"/>
    <x v="4"/>
    <x v="5"/>
    <x v="59"/>
    <x v="0"/>
    <x v="2"/>
    <x v="6"/>
    <n v="152.37"/>
    <n v="1371.33"/>
    <x v="497"/>
    <x v="495"/>
    <x v="0"/>
    <x v="1"/>
  </r>
  <r>
    <s v="ORD499"/>
    <x v="498"/>
    <s v="Customer_190"/>
    <x v="0"/>
    <x v="12"/>
    <x v="21"/>
    <x v="0"/>
    <x v="0"/>
    <x v="3"/>
    <n v="455.3"/>
    <n v="4553"/>
    <x v="498"/>
    <x v="496"/>
    <x v="1"/>
    <x v="2"/>
  </r>
  <r>
    <s v="ORD500"/>
    <x v="499"/>
    <s v="Customer_185"/>
    <x v="4"/>
    <x v="8"/>
    <x v="61"/>
    <x v="0"/>
    <x v="0"/>
    <x v="7"/>
    <n v="104.34"/>
    <n v="626.04"/>
    <x v="499"/>
    <x v="497"/>
    <x v="0"/>
    <x v="2"/>
  </r>
  <r>
    <s v="ORD501"/>
    <x v="500"/>
    <s v="Customer_4"/>
    <x v="1"/>
    <x v="7"/>
    <x v="27"/>
    <x v="0"/>
    <x v="3"/>
    <x v="3"/>
    <n v="103.96"/>
    <n v="1039.5999999999999"/>
    <x v="500"/>
    <x v="498"/>
    <x v="0"/>
    <x v="0"/>
  </r>
  <r>
    <s v="ORD502"/>
    <x v="501"/>
    <s v="Customer_191"/>
    <x v="0"/>
    <x v="12"/>
    <x v="60"/>
    <x v="0"/>
    <x v="2"/>
    <x v="1"/>
    <n v="55.56"/>
    <n v="444.48"/>
    <x v="501"/>
    <x v="499"/>
    <x v="0"/>
    <x v="2"/>
  </r>
  <r>
    <s v="ORD503"/>
    <x v="502"/>
    <s v="Customer_36"/>
    <x v="0"/>
    <x v="1"/>
    <x v="57"/>
    <x v="0"/>
    <x v="2"/>
    <x v="8"/>
    <n v="434.56"/>
    <n v="2172.8000000000002"/>
    <x v="502"/>
    <x v="500"/>
    <x v="1"/>
    <x v="2"/>
  </r>
  <r>
    <s v="ORD504"/>
    <x v="503"/>
    <s v="Customer_83"/>
    <x v="0"/>
    <x v="12"/>
    <x v="65"/>
    <x v="0"/>
    <x v="0"/>
    <x v="9"/>
    <n v="86.21"/>
    <n v="172.42"/>
    <x v="503"/>
    <x v="501"/>
    <x v="0"/>
    <x v="0"/>
  </r>
  <r>
    <s v="ORD505"/>
    <x v="504"/>
    <s v="Customer_124"/>
    <x v="1"/>
    <x v="14"/>
    <x v="76"/>
    <x v="0"/>
    <x v="1"/>
    <x v="4"/>
    <n v="200.19"/>
    <n v="1401.33"/>
    <x v="504"/>
    <x v="502"/>
    <x v="0"/>
    <x v="2"/>
  </r>
  <r>
    <s v="ORD506"/>
    <x v="505"/>
    <s v="Customer_58"/>
    <x v="0"/>
    <x v="0"/>
    <x v="78"/>
    <x v="0"/>
    <x v="2"/>
    <x v="0"/>
    <n v="251.67"/>
    <n v="1006.68"/>
    <x v="505"/>
    <x v="503"/>
    <x v="0"/>
    <x v="2"/>
  </r>
  <r>
    <s v="ORD507"/>
    <x v="506"/>
    <s v="Customer_167"/>
    <x v="1"/>
    <x v="14"/>
    <x v="43"/>
    <x v="0"/>
    <x v="1"/>
    <x v="8"/>
    <n v="201.85"/>
    <n v="1009.25"/>
    <x v="506"/>
    <x v="504"/>
    <x v="0"/>
    <x v="2"/>
  </r>
  <r>
    <s v="ORD508"/>
    <x v="507"/>
    <s v="Customer_91"/>
    <x v="2"/>
    <x v="11"/>
    <x v="19"/>
    <x v="0"/>
    <x v="3"/>
    <x v="4"/>
    <n v="239.59"/>
    <n v="1677.13"/>
    <x v="507"/>
    <x v="505"/>
    <x v="1"/>
    <x v="1"/>
  </r>
  <r>
    <s v="ORD509"/>
    <x v="508"/>
    <s v="Customer_101"/>
    <x v="0"/>
    <x v="12"/>
    <x v="71"/>
    <x v="0"/>
    <x v="1"/>
    <x v="9"/>
    <n v="140.12"/>
    <n v="280.24"/>
    <x v="508"/>
    <x v="506"/>
    <x v="0"/>
    <x v="2"/>
  </r>
  <r>
    <s v="ORD510"/>
    <x v="509"/>
    <s v="Customer_78"/>
    <x v="4"/>
    <x v="5"/>
    <x v="59"/>
    <x v="0"/>
    <x v="3"/>
    <x v="4"/>
    <n v="470.35"/>
    <n v="3292.4500000000003"/>
    <x v="509"/>
    <x v="507"/>
    <x v="1"/>
    <x v="1"/>
  </r>
  <r>
    <s v="ORD511"/>
    <x v="510"/>
    <s v="Customer_180"/>
    <x v="0"/>
    <x v="1"/>
    <x v="12"/>
    <x v="0"/>
    <x v="0"/>
    <x v="8"/>
    <n v="334.19"/>
    <n v="1670.95"/>
    <x v="510"/>
    <x v="508"/>
    <x v="1"/>
    <x v="0"/>
  </r>
  <r>
    <s v="ORD512"/>
    <x v="511"/>
    <s v="Customer_34"/>
    <x v="2"/>
    <x v="13"/>
    <x v="62"/>
    <x v="0"/>
    <x v="3"/>
    <x v="4"/>
    <n v="183.33"/>
    <n v="1283.3100000000002"/>
    <x v="511"/>
    <x v="509"/>
    <x v="0"/>
    <x v="2"/>
  </r>
  <r>
    <s v="ORD513"/>
    <x v="512"/>
    <s v="Customer_2"/>
    <x v="0"/>
    <x v="15"/>
    <x v="67"/>
    <x v="0"/>
    <x v="1"/>
    <x v="6"/>
    <n v="117.05"/>
    <n v="1053.45"/>
    <x v="512"/>
    <x v="510"/>
    <x v="0"/>
    <x v="2"/>
  </r>
  <r>
    <s v="ORD514"/>
    <x v="513"/>
    <s v="Customer_60"/>
    <x v="1"/>
    <x v="2"/>
    <x v="39"/>
    <x v="0"/>
    <x v="3"/>
    <x v="7"/>
    <n v="276.41000000000003"/>
    <n v="1658.46"/>
    <x v="513"/>
    <x v="511"/>
    <x v="1"/>
    <x v="2"/>
  </r>
  <r>
    <s v="ORD515"/>
    <x v="514"/>
    <s v="Customer_129"/>
    <x v="2"/>
    <x v="11"/>
    <x v="29"/>
    <x v="0"/>
    <x v="1"/>
    <x v="9"/>
    <n v="260"/>
    <n v="520"/>
    <x v="514"/>
    <x v="512"/>
    <x v="0"/>
    <x v="1"/>
  </r>
  <r>
    <s v="ORD516"/>
    <x v="515"/>
    <s v="Customer_73"/>
    <x v="1"/>
    <x v="6"/>
    <x v="9"/>
    <x v="0"/>
    <x v="3"/>
    <x v="2"/>
    <n v="170"/>
    <n v="510"/>
    <x v="515"/>
    <x v="513"/>
    <x v="0"/>
    <x v="0"/>
  </r>
  <r>
    <s v="ORD517"/>
    <x v="516"/>
    <s v="Customer_8"/>
    <x v="0"/>
    <x v="1"/>
    <x v="1"/>
    <x v="0"/>
    <x v="0"/>
    <x v="4"/>
    <n v="62.4"/>
    <n v="436.8"/>
    <x v="516"/>
    <x v="514"/>
    <x v="0"/>
    <x v="2"/>
  </r>
  <r>
    <s v="ORD518"/>
    <x v="517"/>
    <s v="Customer_105"/>
    <x v="0"/>
    <x v="0"/>
    <x v="0"/>
    <x v="0"/>
    <x v="0"/>
    <x v="6"/>
    <n v="213.21"/>
    <n v="1918.89"/>
    <x v="517"/>
    <x v="515"/>
    <x v="1"/>
    <x v="0"/>
  </r>
  <r>
    <s v="ORD519"/>
    <x v="518"/>
    <s v="Customer_48"/>
    <x v="0"/>
    <x v="12"/>
    <x v="60"/>
    <x v="0"/>
    <x v="2"/>
    <x v="3"/>
    <n v="320.52999999999997"/>
    <n v="3205.2999999999997"/>
    <x v="518"/>
    <x v="516"/>
    <x v="1"/>
    <x v="1"/>
  </r>
  <r>
    <s v="ORD520"/>
    <x v="519"/>
    <s v="Customer_143"/>
    <x v="2"/>
    <x v="13"/>
    <x v="62"/>
    <x v="0"/>
    <x v="0"/>
    <x v="3"/>
    <n v="116.74"/>
    <n v="1167.3999999999999"/>
    <x v="519"/>
    <x v="517"/>
    <x v="0"/>
    <x v="0"/>
  </r>
  <r>
    <s v="ORD521"/>
    <x v="520"/>
    <s v="Customer_9"/>
    <x v="2"/>
    <x v="11"/>
    <x v="29"/>
    <x v="0"/>
    <x v="0"/>
    <x v="6"/>
    <n v="261.29000000000002"/>
    <n v="2351.61"/>
    <x v="520"/>
    <x v="518"/>
    <x v="1"/>
    <x v="1"/>
  </r>
  <r>
    <s v="ORD522"/>
    <x v="521"/>
    <s v="Customer_143"/>
    <x v="2"/>
    <x v="3"/>
    <x v="51"/>
    <x v="0"/>
    <x v="1"/>
    <x v="2"/>
    <n v="397.98"/>
    <n v="1193.94"/>
    <x v="521"/>
    <x v="519"/>
    <x v="0"/>
    <x v="0"/>
  </r>
  <r>
    <s v="ORD523"/>
    <x v="522"/>
    <s v="Customer_97"/>
    <x v="0"/>
    <x v="9"/>
    <x v="46"/>
    <x v="0"/>
    <x v="2"/>
    <x v="8"/>
    <n v="318.87"/>
    <n v="1594.35"/>
    <x v="522"/>
    <x v="520"/>
    <x v="1"/>
    <x v="0"/>
  </r>
  <r>
    <s v="ORD524"/>
    <x v="523"/>
    <s v="Customer_52"/>
    <x v="4"/>
    <x v="8"/>
    <x v="72"/>
    <x v="0"/>
    <x v="2"/>
    <x v="1"/>
    <n v="390.43"/>
    <n v="3123.44"/>
    <x v="523"/>
    <x v="521"/>
    <x v="1"/>
    <x v="0"/>
  </r>
  <r>
    <s v="ORD525"/>
    <x v="524"/>
    <s v="Customer_55"/>
    <x v="4"/>
    <x v="10"/>
    <x v="53"/>
    <x v="0"/>
    <x v="2"/>
    <x v="4"/>
    <n v="363.88"/>
    <n v="2547.16"/>
    <x v="524"/>
    <x v="522"/>
    <x v="1"/>
    <x v="2"/>
  </r>
  <r>
    <s v="ORD526"/>
    <x v="525"/>
    <s v="Customer_47"/>
    <x v="2"/>
    <x v="11"/>
    <x v="19"/>
    <x v="0"/>
    <x v="0"/>
    <x v="8"/>
    <n v="156.30000000000001"/>
    <n v="781.5"/>
    <x v="525"/>
    <x v="523"/>
    <x v="0"/>
    <x v="2"/>
  </r>
  <r>
    <s v="ORD527"/>
    <x v="526"/>
    <s v="Customer_123"/>
    <x v="0"/>
    <x v="1"/>
    <x v="1"/>
    <x v="0"/>
    <x v="0"/>
    <x v="2"/>
    <n v="461.62"/>
    <n v="1384.8600000000001"/>
    <x v="526"/>
    <x v="524"/>
    <x v="0"/>
    <x v="2"/>
  </r>
  <r>
    <s v="ORD528"/>
    <x v="527"/>
    <s v="Customer_129"/>
    <x v="0"/>
    <x v="1"/>
    <x v="57"/>
    <x v="0"/>
    <x v="1"/>
    <x v="2"/>
    <n v="146.04"/>
    <n v="438.12"/>
    <x v="527"/>
    <x v="525"/>
    <x v="0"/>
    <x v="0"/>
  </r>
  <r>
    <s v="ORD529"/>
    <x v="528"/>
    <s v="Customer_141"/>
    <x v="0"/>
    <x v="12"/>
    <x v="71"/>
    <x v="0"/>
    <x v="2"/>
    <x v="7"/>
    <n v="382.02"/>
    <n v="2292.12"/>
    <x v="528"/>
    <x v="526"/>
    <x v="1"/>
    <x v="0"/>
  </r>
  <r>
    <s v="ORD530"/>
    <x v="529"/>
    <s v="Customer_87"/>
    <x v="0"/>
    <x v="0"/>
    <x v="20"/>
    <x v="0"/>
    <x v="3"/>
    <x v="9"/>
    <n v="313.77999999999997"/>
    <n v="627.55999999999995"/>
    <x v="529"/>
    <x v="527"/>
    <x v="0"/>
    <x v="2"/>
  </r>
  <r>
    <s v="ORD531"/>
    <x v="530"/>
    <s v="Customer_152"/>
    <x v="2"/>
    <x v="3"/>
    <x v="35"/>
    <x v="0"/>
    <x v="2"/>
    <x v="3"/>
    <n v="152.54"/>
    <n v="1525.3999999999999"/>
    <x v="530"/>
    <x v="528"/>
    <x v="1"/>
    <x v="2"/>
  </r>
  <r>
    <s v="ORD532"/>
    <x v="531"/>
    <s v="Customer_188"/>
    <x v="1"/>
    <x v="2"/>
    <x v="77"/>
    <x v="0"/>
    <x v="3"/>
    <x v="7"/>
    <n v="268.86"/>
    <n v="1613.16"/>
    <x v="531"/>
    <x v="529"/>
    <x v="1"/>
    <x v="1"/>
  </r>
  <r>
    <s v="ORD533"/>
    <x v="532"/>
    <s v="Customer_86"/>
    <x v="2"/>
    <x v="11"/>
    <x v="64"/>
    <x v="0"/>
    <x v="0"/>
    <x v="4"/>
    <n v="352.57"/>
    <n v="2467.9899999999998"/>
    <x v="532"/>
    <x v="530"/>
    <x v="1"/>
    <x v="2"/>
  </r>
  <r>
    <s v="ORD534"/>
    <x v="533"/>
    <s v="Customer_80"/>
    <x v="1"/>
    <x v="14"/>
    <x v="58"/>
    <x v="0"/>
    <x v="2"/>
    <x v="1"/>
    <n v="416.13"/>
    <n v="3329.04"/>
    <x v="533"/>
    <x v="531"/>
    <x v="1"/>
    <x v="2"/>
  </r>
  <r>
    <s v="ORD535"/>
    <x v="534"/>
    <s v="Customer_84"/>
    <x v="0"/>
    <x v="1"/>
    <x v="32"/>
    <x v="0"/>
    <x v="2"/>
    <x v="9"/>
    <n v="307.63"/>
    <n v="615.26"/>
    <x v="534"/>
    <x v="532"/>
    <x v="0"/>
    <x v="0"/>
  </r>
  <r>
    <s v="ORD536"/>
    <x v="535"/>
    <s v="Customer_1"/>
    <x v="0"/>
    <x v="0"/>
    <x v="20"/>
    <x v="0"/>
    <x v="0"/>
    <x v="6"/>
    <n v="483.4"/>
    <n v="4350.5999999999995"/>
    <x v="535"/>
    <x v="533"/>
    <x v="1"/>
    <x v="2"/>
  </r>
  <r>
    <s v="ORD537"/>
    <x v="536"/>
    <s v="Customer_152"/>
    <x v="2"/>
    <x v="11"/>
    <x v="47"/>
    <x v="0"/>
    <x v="2"/>
    <x v="8"/>
    <n v="365.12"/>
    <n v="1825.6"/>
    <x v="536"/>
    <x v="534"/>
    <x v="1"/>
    <x v="2"/>
  </r>
  <r>
    <s v="ORD538"/>
    <x v="537"/>
    <s v="Customer_95"/>
    <x v="1"/>
    <x v="14"/>
    <x v="26"/>
    <x v="0"/>
    <x v="0"/>
    <x v="4"/>
    <n v="311.11"/>
    <n v="2177.77"/>
    <x v="537"/>
    <x v="535"/>
    <x v="1"/>
    <x v="0"/>
  </r>
  <r>
    <s v="ORD539"/>
    <x v="538"/>
    <s v="Customer_76"/>
    <x v="0"/>
    <x v="0"/>
    <x v="78"/>
    <x v="0"/>
    <x v="1"/>
    <x v="0"/>
    <n v="373.71"/>
    <n v="1494.84"/>
    <x v="538"/>
    <x v="536"/>
    <x v="1"/>
    <x v="0"/>
  </r>
  <r>
    <s v="ORD540"/>
    <x v="539"/>
    <s v="Customer_4"/>
    <x v="0"/>
    <x v="15"/>
    <x v="41"/>
    <x v="0"/>
    <x v="0"/>
    <x v="3"/>
    <n v="426.63"/>
    <n v="4266.3"/>
    <x v="539"/>
    <x v="537"/>
    <x v="1"/>
    <x v="0"/>
  </r>
  <r>
    <s v="ORD541"/>
    <x v="540"/>
    <s v="Customer_88"/>
    <x v="0"/>
    <x v="9"/>
    <x v="74"/>
    <x v="0"/>
    <x v="0"/>
    <x v="4"/>
    <n v="306.7"/>
    <n v="2146.9"/>
    <x v="540"/>
    <x v="538"/>
    <x v="1"/>
    <x v="1"/>
  </r>
  <r>
    <s v="ORD542"/>
    <x v="541"/>
    <s v="Customer_144"/>
    <x v="1"/>
    <x v="2"/>
    <x v="25"/>
    <x v="0"/>
    <x v="1"/>
    <x v="9"/>
    <n v="318.63"/>
    <n v="637.26"/>
    <x v="541"/>
    <x v="539"/>
    <x v="0"/>
    <x v="2"/>
  </r>
  <r>
    <s v="ORD543"/>
    <x v="542"/>
    <s v="Customer_195"/>
    <x v="1"/>
    <x v="7"/>
    <x v="27"/>
    <x v="0"/>
    <x v="2"/>
    <x v="1"/>
    <n v="78.84"/>
    <n v="630.72"/>
    <x v="542"/>
    <x v="540"/>
    <x v="0"/>
    <x v="1"/>
  </r>
  <r>
    <s v="ORD544"/>
    <x v="543"/>
    <s v="Customer_46"/>
    <x v="3"/>
    <x v="4"/>
    <x v="5"/>
    <x v="0"/>
    <x v="0"/>
    <x v="9"/>
    <n v="459.61"/>
    <n v="919.22"/>
    <x v="543"/>
    <x v="541"/>
    <x v="0"/>
    <x v="0"/>
  </r>
  <r>
    <s v="ORD545"/>
    <x v="544"/>
    <s v="Customer_80"/>
    <x v="4"/>
    <x v="10"/>
    <x v="70"/>
    <x v="0"/>
    <x v="2"/>
    <x v="9"/>
    <n v="385.11"/>
    <n v="770.22"/>
    <x v="544"/>
    <x v="542"/>
    <x v="0"/>
    <x v="2"/>
  </r>
  <r>
    <s v="ORD546"/>
    <x v="545"/>
    <s v="Customer_111"/>
    <x v="2"/>
    <x v="13"/>
    <x v="34"/>
    <x v="0"/>
    <x v="3"/>
    <x v="9"/>
    <n v="190.01"/>
    <n v="380.02"/>
    <x v="545"/>
    <x v="543"/>
    <x v="0"/>
    <x v="0"/>
  </r>
  <r>
    <s v="ORD547"/>
    <x v="546"/>
    <s v="Customer_114"/>
    <x v="0"/>
    <x v="15"/>
    <x v="41"/>
    <x v="0"/>
    <x v="3"/>
    <x v="9"/>
    <n v="473.18"/>
    <n v="946.36"/>
    <x v="546"/>
    <x v="544"/>
    <x v="0"/>
    <x v="1"/>
  </r>
  <r>
    <s v="ORD548"/>
    <x v="547"/>
    <s v="Customer_104"/>
    <x v="0"/>
    <x v="0"/>
    <x v="78"/>
    <x v="0"/>
    <x v="0"/>
    <x v="6"/>
    <n v="96.96"/>
    <n v="872.64"/>
    <x v="547"/>
    <x v="545"/>
    <x v="0"/>
    <x v="0"/>
  </r>
  <r>
    <s v="ORD549"/>
    <x v="548"/>
    <s v="Customer_98"/>
    <x v="4"/>
    <x v="10"/>
    <x v="69"/>
    <x v="0"/>
    <x v="1"/>
    <x v="9"/>
    <n v="335.28"/>
    <n v="670.56"/>
    <x v="548"/>
    <x v="546"/>
    <x v="0"/>
    <x v="2"/>
  </r>
  <r>
    <s v="ORD550"/>
    <x v="549"/>
    <s v="Customer_31"/>
    <x v="1"/>
    <x v="7"/>
    <x v="27"/>
    <x v="0"/>
    <x v="0"/>
    <x v="6"/>
    <n v="356.58"/>
    <n v="3209.22"/>
    <x v="549"/>
    <x v="547"/>
    <x v="1"/>
    <x v="0"/>
  </r>
  <r>
    <s v="ORD551"/>
    <x v="550"/>
    <s v="Customer_52"/>
    <x v="3"/>
    <x v="4"/>
    <x v="40"/>
    <x v="0"/>
    <x v="1"/>
    <x v="4"/>
    <n v="78.56"/>
    <n v="549.92000000000007"/>
    <x v="550"/>
    <x v="548"/>
    <x v="0"/>
    <x v="2"/>
  </r>
  <r>
    <s v="ORD552"/>
    <x v="551"/>
    <s v="Customer_54"/>
    <x v="4"/>
    <x v="10"/>
    <x v="69"/>
    <x v="0"/>
    <x v="0"/>
    <x v="4"/>
    <n v="268.98"/>
    <n v="1882.8600000000001"/>
    <x v="551"/>
    <x v="549"/>
    <x v="1"/>
    <x v="0"/>
  </r>
  <r>
    <s v="ORD553"/>
    <x v="552"/>
    <s v="Customer_54"/>
    <x v="0"/>
    <x v="0"/>
    <x v="20"/>
    <x v="0"/>
    <x v="0"/>
    <x v="8"/>
    <n v="149.37"/>
    <n v="746.85"/>
    <x v="552"/>
    <x v="550"/>
    <x v="0"/>
    <x v="0"/>
  </r>
  <r>
    <s v="ORD554"/>
    <x v="553"/>
    <s v="Customer_167"/>
    <x v="3"/>
    <x v="4"/>
    <x v="68"/>
    <x v="0"/>
    <x v="1"/>
    <x v="8"/>
    <n v="101.19"/>
    <n v="505.95"/>
    <x v="553"/>
    <x v="551"/>
    <x v="0"/>
    <x v="2"/>
  </r>
  <r>
    <s v="ORD555"/>
    <x v="554"/>
    <s v="Customer_15"/>
    <x v="2"/>
    <x v="13"/>
    <x v="34"/>
    <x v="0"/>
    <x v="3"/>
    <x v="2"/>
    <n v="436.8"/>
    <n v="1310.4000000000001"/>
    <x v="554"/>
    <x v="552"/>
    <x v="0"/>
    <x v="1"/>
  </r>
  <r>
    <s v="ORD556"/>
    <x v="555"/>
    <s v="Customer_188"/>
    <x v="1"/>
    <x v="6"/>
    <x v="73"/>
    <x v="0"/>
    <x v="2"/>
    <x v="4"/>
    <n v="192.8"/>
    <n v="1349.6000000000001"/>
    <x v="555"/>
    <x v="553"/>
    <x v="0"/>
    <x v="2"/>
  </r>
  <r>
    <s v="ORD557"/>
    <x v="556"/>
    <s v="Customer_148"/>
    <x v="1"/>
    <x v="7"/>
    <x v="38"/>
    <x v="0"/>
    <x v="2"/>
    <x v="9"/>
    <n v="183.2"/>
    <n v="366.4"/>
    <x v="556"/>
    <x v="554"/>
    <x v="0"/>
    <x v="2"/>
  </r>
  <r>
    <s v="ORD558"/>
    <x v="557"/>
    <s v="Customer_143"/>
    <x v="2"/>
    <x v="11"/>
    <x v="64"/>
    <x v="0"/>
    <x v="2"/>
    <x v="0"/>
    <n v="412.72"/>
    <n v="1650.88"/>
    <x v="557"/>
    <x v="555"/>
    <x v="1"/>
    <x v="0"/>
  </r>
  <r>
    <s v="ORD559"/>
    <x v="558"/>
    <s v="Customer_170"/>
    <x v="2"/>
    <x v="11"/>
    <x v="19"/>
    <x v="0"/>
    <x v="0"/>
    <x v="4"/>
    <n v="434.94"/>
    <n v="3044.58"/>
    <x v="558"/>
    <x v="556"/>
    <x v="1"/>
    <x v="0"/>
  </r>
  <r>
    <s v="ORD560"/>
    <x v="559"/>
    <s v="Customer_103"/>
    <x v="2"/>
    <x v="11"/>
    <x v="64"/>
    <x v="0"/>
    <x v="1"/>
    <x v="6"/>
    <n v="382.96"/>
    <n v="3446.64"/>
    <x v="559"/>
    <x v="557"/>
    <x v="1"/>
    <x v="1"/>
  </r>
  <r>
    <s v="ORD561"/>
    <x v="560"/>
    <s v="Customer_128"/>
    <x v="1"/>
    <x v="14"/>
    <x v="26"/>
    <x v="0"/>
    <x v="1"/>
    <x v="9"/>
    <n v="414.89"/>
    <n v="829.78"/>
    <x v="560"/>
    <x v="558"/>
    <x v="0"/>
    <x v="2"/>
  </r>
  <r>
    <s v="ORD562"/>
    <x v="561"/>
    <s v="Customer_66"/>
    <x v="1"/>
    <x v="6"/>
    <x v="22"/>
    <x v="0"/>
    <x v="1"/>
    <x v="6"/>
    <n v="136.47999999999999"/>
    <n v="1228.32"/>
    <x v="561"/>
    <x v="559"/>
    <x v="0"/>
    <x v="2"/>
  </r>
  <r>
    <s v="ORD563"/>
    <x v="562"/>
    <s v="Customer_56"/>
    <x v="1"/>
    <x v="7"/>
    <x v="45"/>
    <x v="0"/>
    <x v="1"/>
    <x v="6"/>
    <n v="451.04"/>
    <n v="4059.36"/>
    <x v="562"/>
    <x v="560"/>
    <x v="1"/>
    <x v="1"/>
  </r>
  <r>
    <s v="ORD564"/>
    <x v="563"/>
    <s v="Customer_128"/>
    <x v="1"/>
    <x v="6"/>
    <x v="9"/>
    <x v="0"/>
    <x v="2"/>
    <x v="1"/>
    <n v="280"/>
    <n v="2240"/>
    <x v="563"/>
    <x v="561"/>
    <x v="1"/>
    <x v="1"/>
  </r>
  <r>
    <s v="ORD565"/>
    <x v="564"/>
    <s v="Customer_79"/>
    <x v="4"/>
    <x v="5"/>
    <x v="6"/>
    <x v="0"/>
    <x v="1"/>
    <x v="6"/>
    <n v="108.38"/>
    <n v="975.42"/>
    <x v="564"/>
    <x v="562"/>
    <x v="0"/>
    <x v="0"/>
  </r>
  <r>
    <s v="ORD566"/>
    <x v="565"/>
    <s v="Customer_170"/>
    <x v="0"/>
    <x v="9"/>
    <x v="36"/>
    <x v="0"/>
    <x v="3"/>
    <x v="6"/>
    <n v="491.46"/>
    <n v="4423.1399999999994"/>
    <x v="565"/>
    <x v="563"/>
    <x v="1"/>
    <x v="0"/>
  </r>
  <r>
    <s v="ORD567"/>
    <x v="566"/>
    <s v="Customer_140"/>
    <x v="4"/>
    <x v="10"/>
    <x v="53"/>
    <x v="0"/>
    <x v="0"/>
    <x v="1"/>
    <n v="495.89"/>
    <n v="3967.12"/>
    <x v="566"/>
    <x v="564"/>
    <x v="1"/>
    <x v="2"/>
  </r>
  <r>
    <s v="ORD568"/>
    <x v="567"/>
    <s v="Customer_193"/>
    <x v="1"/>
    <x v="6"/>
    <x v="22"/>
    <x v="0"/>
    <x v="3"/>
    <x v="9"/>
    <n v="388.32"/>
    <n v="776.64"/>
    <x v="567"/>
    <x v="565"/>
    <x v="0"/>
    <x v="0"/>
  </r>
  <r>
    <s v="ORD569"/>
    <x v="568"/>
    <s v="Customer_193"/>
    <x v="1"/>
    <x v="6"/>
    <x v="9"/>
    <x v="0"/>
    <x v="1"/>
    <x v="9"/>
    <n v="236.35"/>
    <n v="472.7"/>
    <x v="568"/>
    <x v="566"/>
    <x v="0"/>
    <x v="0"/>
  </r>
  <r>
    <s v="ORD570"/>
    <x v="569"/>
    <s v="Customer_28"/>
    <x v="1"/>
    <x v="6"/>
    <x v="7"/>
    <x v="0"/>
    <x v="0"/>
    <x v="9"/>
    <n v="46.15"/>
    <n v="92.3"/>
    <x v="569"/>
    <x v="567"/>
    <x v="0"/>
    <x v="1"/>
  </r>
  <r>
    <s v="ORD571"/>
    <x v="570"/>
    <s v="Customer_103"/>
    <x v="0"/>
    <x v="9"/>
    <x v="36"/>
    <x v="0"/>
    <x v="3"/>
    <x v="9"/>
    <n v="127.74"/>
    <n v="255.48"/>
    <x v="570"/>
    <x v="568"/>
    <x v="0"/>
    <x v="2"/>
  </r>
  <r>
    <s v="ORD572"/>
    <x v="571"/>
    <s v="Customer_26"/>
    <x v="4"/>
    <x v="5"/>
    <x v="75"/>
    <x v="0"/>
    <x v="2"/>
    <x v="2"/>
    <n v="241.65"/>
    <n v="724.95"/>
    <x v="571"/>
    <x v="569"/>
    <x v="0"/>
    <x v="2"/>
  </r>
  <r>
    <s v="ORD573"/>
    <x v="572"/>
    <s v="Customer_192"/>
    <x v="4"/>
    <x v="10"/>
    <x v="15"/>
    <x v="0"/>
    <x v="0"/>
    <x v="1"/>
    <n v="413"/>
    <n v="3304"/>
    <x v="572"/>
    <x v="570"/>
    <x v="1"/>
    <x v="2"/>
  </r>
  <r>
    <s v="ORD574"/>
    <x v="573"/>
    <s v="Customer_25"/>
    <x v="0"/>
    <x v="1"/>
    <x v="1"/>
    <x v="0"/>
    <x v="2"/>
    <x v="5"/>
    <n v="229.34"/>
    <n v="229.34"/>
    <x v="573"/>
    <x v="571"/>
    <x v="0"/>
    <x v="1"/>
  </r>
  <r>
    <s v="ORD575"/>
    <x v="574"/>
    <s v="Customer_128"/>
    <x v="0"/>
    <x v="0"/>
    <x v="0"/>
    <x v="0"/>
    <x v="0"/>
    <x v="4"/>
    <n v="117.95"/>
    <n v="825.65"/>
    <x v="574"/>
    <x v="572"/>
    <x v="0"/>
    <x v="2"/>
  </r>
  <r>
    <s v="ORD576"/>
    <x v="575"/>
    <s v="Customer_76"/>
    <x v="4"/>
    <x v="10"/>
    <x v="70"/>
    <x v="0"/>
    <x v="0"/>
    <x v="4"/>
    <n v="222.81"/>
    <n v="1559.67"/>
    <x v="575"/>
    <x v="573"/>
    <x v="1"/>
    <x v="1"/>
  </r>
  <r>
    <s v="ORD577"/>
    <x v="576"/>
    <s v="Customer_6"/>
    <x v="2"/>
    <x v="11"/>
    <x v="29"/>
    <x v="0"/>
    <x v="3"/>
    <x v="7"/>
    <n v="486.15"/>
    <n v="2916.8999999999996"/>
    <x v="576"/>
    <x v="574"/>
    <x v="1"/>
    <x v="2"/>
  </r>
  <r>
    <s v="ORD578"/>
    <x v="577"/>
    <s v="Customer_8"/>
    <x v="0"/>
    <x v="9"/>
    <x v="16"/>
    <x v="0"/>
    <x v="2"/>
    <x v="8"/>
    <n v="456.58"/>
    <n v="2282.9"/>
    <x v="577"/>
    <x v="575"/>
    <x v="1"/>
    <x v="2"/>
  </r>
  <r>
    <s v="ORD579"/>
    <x v="578"/>
    <s v="Customer_96"/>
    <x v="4"/>
    <x v="8"/>
    <x v="28"/>
    <x v="0"/>
    <x v="3"/>
    <x v="0"/>
    <n v="74.38"/>
    <n v="297.52"/>
    <x v="578"/>
    <x v="576"/>
    <x v="0"/>
    <x v="2"/>
  </r>
  <r>
    <s v="ORD580"/>
    <x v="579"/>
    <s v="Customer_27"/>
    <x v="2"/>
    <x v="13"/>
    <x v="23"/>
    <x v="0"/>
    <x v="3"/>
    <x v="4"/>
    <n v="259.48"/>
    <n v="1816.3600000000001"/>
    <x v="579"/>
    <x v="577"/>
    <x v="1"/>
    <x v="0"/>
  </r>
  <r>
    <s v="ORD581"/>
    <x v="580"/>
    <s v="Customer_84"/>
    <x v="3"/>
    <x v="4"/>
    <x v="40"/>
    <x v="0"/>
    <x v="3"/>
    <x v="7"/>
    <n v="73.59"/>
    <n v="441.54"/>
    <x v="580"/>
    <x v="578"/>
    <x v="0"/>
    <x v="0"/>
  </r>
  <r>
    <s v="ORD582"/>
    <x v="581"/>
    <s v="Customer_30"/>
    <x v="0"/>
    <x v="0"/>
    <x v="0"/>
    <x v="0"/>
    <x v="0"/>
    <x v="4"/>
    <n v="20.149999999999999"/>
    <n v="141.04999999999998"/>
    <x v="581"/>
    <x v="579"/>
    <x v="0"/>
    <x v="1"/>
  </r>
  <r>
    <s v="ORD583"/>
    <x v="582"/>
    <s v="Customer_14"/>
    <x v="0"/>
    <x v="15"/>
    <x v="37"/>
    <x v="0"/>
    <x v="1"/>
    <x v="1"/>
    <n v="144.38"/>
    <n v="1155.04"/>
    <x v="582"/>
    <x v="580"/>
    <x v="0"/>
    <x v="1"/>
  </r>
  <r>
    <s v="ORD584"/>
    <x v="583"/>
    <s v="Customer_135"/>
    <x v="2"/>
    <x v="11"/>
    <x v="19"/>
    <x v="0"/>
    <x v="1"/>
    <x v="8"/>
    <n v="452.78"/>
    <n v="2263.8999999999996"/>
    <x v="583"/>
    <x v="581"/>
    <x v="1"/>
    <x v="2"/>
  </r>
  <r>
    <s v="ORD585"/>
    <x v="584"/>
    <s v="Customer_186"/>
    <x v="0"/>
    <x v="0"/>
    <x v="20"/>
    <x v="0"/>
    <x v="2"/>
    <x v="4"/>
    <n v="360.97"/>
    <n v="2526.79"/>
    <x v="584"/>
    <x v="582"/>
    <x v="1"/>
    <x v="2"/>
  </r>
  <r>
    <s v="ORD586"/>
    <x v="585"/>
    <s v="Customer_45"/>
    <x v="1"/>
    <x v="2"/>
    <x v="39"/>
    <x v="0"/>
    <x v="1"/>
    <x v="6"/>
    <n v="198.5"/>
    <n v="1786.5"/>
    <x v="585"/>
    <x v="583"/>
    <x v="1"/>
    <x v="1"/>
  </r>
  <r>
    <s v="ORD587"/>
    <x v="586"/>
    <s v="Customer_73"/>
    <x v="2"/>
    <x v="13"/>
    <x v="62"/>
    <x v="0"/>
    <x v="2"/>
    <x v="9"/>
    <n v="291.95"/>
    <n v="583.9"/>
    <x v="586"/>
    <x v="584"/>
    <x v="0"/>
    <x v="2"/>
  </r>
  <r>
    <s v="ORD588"/>
    <x v="587"/>
    <s v="Customer_68"/>
    <x v="0"/>
    <x v="12"/>
    <x v="60"/>
    <x v="0"/>
    <x v="0"/>
    <x v="0"/>
    <n v="400.35"/>
    <n v="1601.4"/>
    <x v="587"/>
    <x v="585"/>
    <x v="0"/>
    <x v="0"/>
  </r>
  <r>
    <s v="ORD589"/>
    <x v="588"/>
    <s v="Customer_195"/>
    <x v="4"/>
    <x v="5"/>
    <x v="6"/>
    <x v="0"/>
    <x v="1"/>
    <x v="0"/>
    <n v="391.84"/>
    <n v="1567.36"/>
    <x v="588"/>
    <x v="586"/>
    <x v="1"/>
    <x v="0"/>
  </r>
  <r>
    <s v="ORD590"/>
    <x v="589"/>
    <s v="Customer_34"/>
    <x v="0"/>
    <x v="15"/>
    <x v="37"/>
    <x v="0"/>
    <x v="3"/>
    <x v="0"/>
    <n v="157.87"/>
    <n v="631.48"/>
    <x v="589"/>
    <x v="587"/>
    <x v="0"/>
    <x v="1"/>
  </r>
  <r>
    <s v="ORD591"/>
    <x v="590"/>
    <s v="Customer_94"/>
    <x v="3"/>
    <x v="4"/>
    <x v="5"/>
    <x v="0"/>
    <x v="0"/>
    <x v="2"/>
    <n v="24.39"/>
    <n v="73.17"/>
    <x v="590"/>
    <x v="588"/>
    <x v="0"/>
    <x v="2"/>
  </r>
  <r>
    <s v="ORD592"/>
    <x v="591"/>
    <s v="Customer_9"/>
    <x v="0"/>
    <x v="15"/>
    <x v="37"/>
    <x v="0"/>
    <x v="0"/>
    <x v="0"/>
    <n v="254.97"/>
    <n v="1019.88"/>
    <x v="591"/>
    <x v="589"/>
    <x v="0"/>
    <x v="2"/>
  </r>
  <r>
    <s v="ORD593"/>
    <x v="592"/>
    <s v="Customer_101"/>
    <x v="2"/>
    <x v="3"/>
    <x v="48"/>
    <x v="0"/>
    <x v="0"/>
    <x v="3"/>
    <n v="492.17"/>
    <n v="4921.7"/>
    <x v="592"/>
    <x v="590"/>
    <x v="1"/>
    <x v="2"/>
  </r>
  <r>
    <s v="ORD594"/>
    <x v="593"/>
    <s v="Customer_57"/>
    <x v="0"/>
    <x v="9"/>
    <x v="74"/>
    <x v="0"/>
    <x v="2"/>
    <x v="5"/>
    <n v="401.62"/>
    <n v="401.62"/>
    <x v="593"/>
    <x v="591"/>
    <x v="0"/>
    <x v="1"/>
  </r>
  <r>
    <s v="ORD595"/>
    <x v="594"/>
    <s v="Customer_192"/>
    <x v="4"/>
    <x v="10"/>
    <x v="70"/>
    <x v="0"/>
    <x v="0"/>
    <x v="8"/>
    <n v="296.72000000000003"/>
    <n v="1483.6000000000001"/>
    <x v="594"/>
    <x v="592"/>
    <x v="1"/>
    <x v="2"/>
  </r>
  <r>
    <s v="ORD596"/>
    <x v="595"/>
    <s v="Customer_120"/>
    <x v="4"/>
    <x v="10"/>
    <x v="66"/>
    <x v="0"/>
    <x v="0"/>
    <x v="5"/>
    <n v="35.56"/>
    <n v="35.56"/>
    <x v="595"/>
    <x v="593"/>
    <x v="0"/>
    <x v="1"/>
  </r>
  <r>
    <s v="ORD597"/>
    <x v="596"/>
    <s v="Customer_142"/>
    <x v="0"/>
    <x v="9"/>
    <x v="46"/>
    <x v="0"/>
    <x v="2"/>
    <x v="9"/>
    <n v="458.45"/>
    <n v="916.9"/>
    <x v="596"/>
    <x v="594"/>
    <x v="0"/>
    <x v="2"/>
  </r>
  <r>
    <s v="ORD598"/>
    <x v="597"/>
    <s v="Customer_162"/>
    <x v="0"/>
    <x v="12"/>
    <x v="60"/>
    <x v="0"/>
    <x v="2"/>
    <x v="3"/>
    <n v="496.56"/>
    <n v="4965.6000000000004"/>
    <x v="597"/>
    <x v="595"/>
    <x v="1"/>
    <x v="1"/>
  </r>
  <r>
    <s v="ORD599"/>
    <x v="598"/>
    <s v="Customer_60"/>
    <x v="3"/>
    <x v="4"/>
    <x v="5"/>
    <x v="0"/>
    <x v="2"/>
    <x v="5"/>
    <n v="424.2"/>
    <n v="424.2"/>
    <x v="598"/>
    <x v="596"/>
    <x v="0"/>
    <x v="2"/>
  </r>
  <r>
    <s v="ORD600"/>
    <x v="599"/>
    <s v="Customer_192"/>
    <x v="0"/>
    <x v="0"/>
    <x v="3"/>
    <x v="0"/>
    <x v="0"/>
    <x v="7"/>
    <n v="245.23"/>
    <n v="1471.3799999999999"/>
    <x v="599"/>
    <x v="597"/>
    <x v="0"/>
    <x v="2"/>
  </r>
  <r>
    <s v="ORD601"/>
    <x v="600"/>
    <s v="Customer_141"/>
    <x v="1"/>
    <x v="6"/>
    <x v="73"/>
    <x v="0"/>
    <x v="3"/>
    <x v="4"/>
    <n v="495.71"/>
    <n v="3469.97"/>
    <x v="600"/>
    <x v="598"/>
    <x v="1"/>
    <x v="1"/>
  </r>
  <r>
    <s v="ORD602"/>
    <x v="601"/>
    <s v="Customer_98"/>
    <x v="1"/>
    <x v="7"/>
    <x v="38"/>
    <x v="0"/>
    <x v="0"/>
    <x v="2"/>
    <n v="144.06"/>
    <n v="432.18"/>
    <x v="601"/>
    <x v="599"/>
    <x v="0"/>
    <x v="1"/>
  </r>
  <r>
    <s v="ORD603"/>
    <x v="602"/>
    <s v="Customer_175"/>
    <x v="3"/>
    <x v="4"/>
    <x v="68"/>
    <x v="0"/>
    <x v="1"/>
    <x v="0"/>
    <n v="401.77"/>
    <n v="1607.08"/>
    <x v="602"/>
    <x v="600"/>
    <x v="0"/>
    <x v="0"/>
  </r>
  <r>
    <s v="ORD604"/>
    <x v="603"/>
    <s v="Customer_127"/>
    <x v="1"/>
    <x v="7"/>
    <x v="31"/>
    <x v="0"/>
    <x v="0"/>
    <x v="2"/>
    <n v="68.09"/>
    <n v="204.27"/>
    <x v="603"/>
    <x v="346"/>
    <x v="0"/>
    <x v="1"/>
  </r>
  <r>
    <s v="ORD605"/>
    <x v="604"/>
    <s v="Customer_83"/>
    <x v="3"/>
    <x v="4"/>
    <x v="5"/>
    <x v="0"/>
    <x v="0"/>
    <x v="4"/>
    <n v="422.32"/>
    <n v="2956.24"/>
    <x v="604"/>
    <x v="601"/>
    <x v="1"/>
    <x v="2"/>
  </r>
  <r>
    <s v="ORD606"/>
    <x v="605"/>
    <s v="Customer_3"/>
    <x v="0"/>
    <x v="9"/>
    <x v="46"/>
    <x v="0"/>
    <x v="3"/>
    <x v="2"/>
    <n v="35.69"/>
    <n v="107.07"/>
    <x v="605"/>
    <x v="602"/>
    <x v="0"/>
    <x v="1"/>
  </r>
  <r>
    <s v="ORD607"/>
    <x v="606"/>
    <s v="Customer_4"/>
    <x v="0"/>
    <x v="9"/>
    <x v="14"/>
    <x v="0"/>
    <x v="2"/>
    <x v="2"/>
    <n v="401.26"/>
    <n v="1203.78"/>
    <x v="606"/>
    <x v="603"/>
    <x v="0"/>
    <x v="2"/>
  </r>
  <r>
    <s v="ORD608"/>
    <x v="607"/>
    <s v="Customer_15"/>
    <x v="2"/>
    <x v="11"/>
    <x v="29"/>
    <x v="0"/>
    <x v="2"/>
    <x v="1"/>
    <n v="231.11"/>
    <n v="1848.88"/>
    <x v="607"/>
    <x v="604"/>
    <x v="1"/>
    <x v="1"/>
  </r>
  <r>
    <s v="ORD609"/>
    <x v="608"/>
    <s v="Customer_108"/>
    <x v="0"/>
    <x v="15"/>
    <x v="41"/>
    <x v="0"/>
    <x v="0"/>
    <x v="4"/>
    <n v="399.18"/>
    <n v="2794.26"/>
    <x v="608"/>
    <x v="605"/>
    <x v="1"/>
    <x v="2"/>
  </r>
  <r>
    <s v="ORD610"/>
    <x v="609"/>
    <s v="Customer_172"/>
    <x v="2"/>
    <x v="3"/>
    <x v="48"/>
    <x v="0"/>
    <x v="2"/>
    <x v="2"/>
    <n v="375.94"/>
    <n v="1127.82"/>
    <x v="609"/>
    <x v="606"/>
    <x v="0"/>
    <x v="1"/>
  </r>
  <r>
    <s v="ORD611"/>
    <x v="610"/>
    <s v="Customer_41"/>
    <x v="2"/>
    <x v="3"/>
    <x v="17"/>
    <x v="0"/>
    <x v="2"/>
    <x v="1"/>
    <n v="86.71"/>
    <n v="693.68"/>
    <x v="610"/>
    <x v="607"/>
    <x v="0"/>
    <x v="1"/>
  </r>
  <r>
    <s v="ORD612"/>
    <x v="611"/>
    <s v="Customer_111"/>
    <x v="0"/>
    <x v="0"/>
    <x v="18"/>
    <x v="0"/>
    <x v="1"/>
    <x v="6"/>
    <n v="490.06"/>
    <n v="4410.54"/>
    <x v="611"/>
    <x v="608"/>
    <x v="1"/>
    <x v="0"/>
  </r>
  <r>
    <s v="ORD613"/>
    <x v="612"/>
    <s v="Customer_88"/>
    <x v="4"/>
    <x v="10"/>
    <x v="53"/>
    <x v="0"/>
    <x v="2"/>
    <x v="6"/>
    <n v="314.14999999999998"/>
    <n v="2827.35"/>
    <x v="612"/>
    <x v="609"/>
    <x v="1"/>
    <x v="0"/>
  </r>
  <r>
    <s v="ORD614"/>
    <x v="613"/>
    <s v="Customer_73"/>
    <x v="2"/>
    <x v="13"/>
    <x v="62"/>
    <x v="0"/>
    <x v="0"/>
    <x v="6"/>
    <n v="310.62"/>
    <n v="2795.58"/>
    <x v="613"/>
    <x v="610"/>
    <x v="1"/>
    <x v="1"/>
  </r>
  <r>
    <s v="ORD615"/>
    <x v="614"/>
    <s v="Customer_109"/>
    <x v="0"/>
    <x v="9"/>
    <x v="16"/>
    <x v="0"/>
    <x v="1"/>
    <x v="4"/>
    <n v="389.73"/>
    <n v="2728.11"/>
    <x v="614"/>
    <x v="611"/>
    <x v="1"/>
    <x v="0"/>
  </r>
  <r>
    <s v="ORD616"/>
    <x v="615"/>
    <s v="Customer_99"/>
    <x v="3"/>
    <x v="4"/>
    <x v="68"/>
    <x v="0"/>
    <x v="3"/>
    <x v="3"/>
    <n v="191.38"/>
    <n v="1913.8"/>
    <x v="615"/>
    <x v="612"/>
    <x v="1"/>
    <x v="1"/>
  </r>
  <r>
    <s v="ORD617"/>
    <x v="616"/>
    <s v="Customer_5"/>
    <x v="3"/>
    <x v="4"/>
    <x v="5"/>
    <x v="0"/>
    <x v="1"/>
    <x v="9"/>
    <n v="70.06"/>
    <n v="140.12"/>
    <x v="616"/>
    <x v="613"/>
    <x v="0"/>
    <x v="1"/>
  </r>
  <r>
    <s v="ORD618"/>
    <x v="617"/>
    <s v="Customer_138"/>
    <x v="0"/>
    <x v="12"/>
    <x v="21"/>
    <x v="0"/>
    <x v="3"/>
    <x v="4"/>
    <n v="390.76"/>
    <n v="2735.3199999999997"/>
    <x v="617"/>
    <x v="614"/>
    <x v="1"/>
    <x v="1"/>
  </r>
  <r>
    <s v="ORD619"/>
    <x v="618"/>
    <s v="Customer_196"/>
    <x v="0"/>
    <x v="12"/>
    <x v="71"/>
    <x v="0"/>
    <x v="1"/>
    <x v="6"/>
    <n v="267.57"/>
    <n v="2408.13"/>
    <x v="618"/>
    <x v="615"/>
    <x v="1"/>
    <x v="0"/>
  </r>
  <r>
    <s v="ORD620"/>
    <x v="619"/>
    <s v="Customer_59"/>
    <x v="0"/>
    <x v="0"/>
    <x v="3"/>
    <x v="0"/>
    <x v="0"/>
    <x v="7"/>
    <n v="280.73"/>
    <n v="1684.38"/>
    <x v="619"/>
    <x v="616"/>
    <x v="1"/>
    <x v="2"/>
  </r>
  <r>
    <s v="ORD621"/>
    <x v="620"/>
    <s v="Customer_192"/>
    <x v="1"/>
    <x v="6"/>
    <x v="7"/>
    <x v="0"/>
    <x v="1"/>
    <x v="4"/>
    <n v="180.08"/>
    <n v="1260.5600000000002"/>
    <x v="620"/>
    <x v="617"/>
    <x v="0"/>
    <x v="0"/>
  </r>
  <r>
    <s v="ORD622"/>
    <x v="621"/>
    <s v="Customer_11"/>
    <x v="0"/>
    <x v="15"/>
    <x v="52"/>
    <x v="0"/>
    <x v="0"/>
    <x v="5"/>
    <n v="347.17"/>
    <n v="347.17"/>
    <x v="621"/>
    <x v="618"/>
    <x v="0"/>
    <x v="1"/>
  </r>
  <r>
    <s v="ORD623"/>
    <x v="622"/>
    <s v="Customer_43"/>
    <x v="0"/>
    <x v="0"/>
    <x v="18"/>
    <x v="0"/>
    <x v="3"/>
    <x v="7"/>
    <n v="162.09"/>
    <n v="972.54"/>
    <x v="622"/>
    <x v="619"/>
    <x v="0"/>
    <x v="1"/>
  </r>
  <r>
    <s v="ORD624"/>
    <x v="623"/>
    <s v="Customer_31"/>
    <x v="2"/>
    <x v="11"/>
    <x v="64"/>
    <x v="0"/>
    <x v="2"/>
    <x v="7"/>
    <n v="472.26"/>
    <n v="2833.56"/>
    <x v="623"/>
    <x v="620"/>
    <x v="1"/>
    <x v="2"/>
  </r>
  <r>
    <s v="ORD625"/>
    <x v="624"/>
    <s v="Customer_16"/>
    <x v="0"/>
    <x v="1"/>
    <x v="32"/>
    <x v="0"/>
    <x v="2"/>
    <x v="8"/>
    <n v="225.09"/>
    <n v="1125.45"/>
    <x v="624"/>
    <x v="621"/>
    <x v="0"/>
    <x v="0"/>
  </r>
  <r>
    <s v="ORD626"/>
    <x v="625"/>
    <s v="Customer_148"/>
    <x v="1"/>
    <x v="2"/>
    <x v="77"/>
    <x v="0"/>
    <x v="1"/>
    <x v="0"/>
    <n v="65.2"/>
    <n v="260.8"/>
    <x v="625"/>
    <x v="622"/>
    <x v="0"/>
    <x v="2"/>
  </r>
  <r>
    <s v="ORD627"/>
    <x v="626"/>
    <s v="Customer_100"/>
    <x v="4"/>
    <x v="5"/>
    <x v="8"/>
    <x v="0"/>
    <x v="0"/>
    <x v="4"/>
    <n v="228.01"/>
    <n v="1596.07"/>
    <x v="626"/>
    <x v="623"/>
    <x v="1"/>
    <x v="2"/>
  </r>
  <r>
    <s v="ORD628"/>
    <x v="627"/>
    <s v="Customer_94"/>
    <x v="0"/>
    <x v="1"/>
    <x v="12"/>
    <x v="0"/>
    <x v="1"/>
    <x v="7"/>
    <n v="376.83"/>
    <n v="2260.98"/>
    <x v="627"/>
    <x v="624"/>
    <x v="1"/>
    <x v="1"/>
  </r>
  <r>
    <s v="ORD629"/>
    <x v="628"/>
    <s v="Customer_84"/>
    <x v="4"/>
    <x v="8"/>
    <x v="28"/>
    <x v="0"/>
    <x v="2"/>
    <x v="1"/>
    <n v="419.71"/>
    <n v="3357.68"/>
    <x v="628"/>
    <x v="625"/>
    <x v="1"/>
    <x v="1"/>
  </r>
  <r>
    <s v="ORD630"/>
    <x v="629"/>
    <s v="Customer_167"/>
    <x v="0"/>
    <x v="12"/>
    <x v="71"/>
    <x v="0"/>
    <x v="1"/>
    <x v="4"/>
    <n v="384.09"/>
    <n v="2688.6299999999997"/>
    <x v="629"/>
    <x v="626"/>
    <x v="1"/>
    <x v="2"/>
  </r>
  <r>
    <s v="ORD631"/>
    <x v="630"/>
    <s v="Customer_195"/>
    <x v="2"/>
    <x v="11"/>
    <x v="64"/>
    <x v="0"/>
    <x v="2"/>
    <x v="3"/>
    <n v="492.84"/>
    <n v="4928.3999999999996"/>
    <x v="630"/>
    <x v="627"/>
    <x v="1"/>
    <x v="2"/>
  </r>
  <r>
    <s v="ORD632"/>
    <x v="631"/>
    <s v="Customer_143"/>
    <x v="4"/>
    <x v="8"/>
    <x v="72"/>
    <x v="0"/>
    <x v="3"/>
    <x v="7"/>
    <n v="470.34"/>
    <n v="2822.04"/>
    <x v="631"/>
    <x v="628"/>
    <x v="1"/>
    <x v="2"/>
  </r>
  <r>
    <s v="ORD633"/>
    <x v="632"/>
    <s v="Customer_47"/>
    <x v="1"/>
    <x v="14"/>
    <x v="58"/>
    <x v="0"/>
    <x v="0"/>
    <x v="2"/>
    <n v="59.63"/>
    <n v="178.89000000000001"/>
    <x v="632"/>
    <x v="629"/>
    <x v="0"/>
    <x v="2"/>
  </r>
  <r>
    <s v="ORD634"/>
    <x v="633"/>
    <s v="Customer_78"/>
    <x v="4"/>
    <x v="10"/>
    <x v="70"/>
    <x v="0"/>
    <x v="2"/>
    <x v="7"/>
    <n v="263.02999999999997"/>
    <n v="1578.1799999999998"/>
    <x v="633"/>
    <x v="630"/>
    <x v="1"/>
    <x v="2"/>
  </r>
  <r>
    <s v="ORD635"/>
    <x v="634"/>
    <s v="Customer_84"/>
    <x v="2"/>
    <x v="3"/>
    <x v="4"/>
    <x v="0"/>
    <x v="2"/>
    <x v="2"/>
    <n v="490.41"/>
    <n v="1471.23"/>
    <x v="634"/>
    <x v="631"/>
    <x v="0"/>
    <x v="1"/>
  </r>
  <r>
    <s v="ORD636"/>
    <x v="635"/>
    <s v="Customer_174"/>
    <x v="1"/>
    <x v="6"/>
    <x v="73"/>
    <x v="0"/>
    <x v="0"/>
    <x v="8"/>
    <n v="85.12"/>
    <n v="425.6"/>
    <x v="635"/>
    <x v="632"/>
    <x v="0"/>
    <x v="2"/>
  </r>
  <r>
    <s v="ORD637"/>
    <x v="636"/>
    <s v="Customer_79"/>
    <x v="3"/>
    <x v="4"/>
    <x v="55"/>
    <x v="0"/>
    <x v="2"/>
    <x v="0"/>
    <n v="60.21"/>
    <n v="240.84"/>
    <x v="636"/>
    <x v="633"/>
    <x v="0"/>
    <x v="1"/>
  </r>
  <r>
    <s v="ORD638"/>
    <x v="637"/>
    <s v="Customer_125"/>
    <x v="0"/>
    <x v="9"/>
    <x v="36"/>
    <x v="0"/>
    <x v="3"/>
    <x v="3"/>
    <n v="338.8"/>
    <n v="3388"/>
    <x v="637"/>
    <x v="634"/>
    <x v="1"/>
    <x v="1"/>
  </r>
  <r>
    <s v="ORD639"/>
    <x v="638"/>
    <s v="Customer_95"/>
    <x v="2"/>
    <x v="11"/>
    <x v="47"/>
    <x v="0"/>
    <x v="2"/>
    <x v="1"/>
    <n v="63.35"/>
    <n v="506.8"/>
    <x v="638"/>
    <x v="635"/>
    <x v="0"/>
    <x v="1"/>
  </r>
  <r>
    <s v="ORD640"/>
    <x v="639"/>
    <s v="Customer_133"/>
    <x v="0"/>
    <x v="9"/>
    <x v="74"/>
    <x v="0"/>
    <x v="3"/>
    <x v="8"/>
    <n v="307.10000000000002"/>
    <n v="1535.5"/>
    <x v="639"/>
    <x v="636"/>
    <x v="0"/>
    <x v="1"/>
  </r>
  <r>
    <s v="ORD641"/>
    <x v="640"/>
    <s v="Customer_109"/>
    <x v="2"/>
    <x v="3"/>
    <x v="48"/>
    <x v="0"/>
    <x v="2"/>
    <x v="1"/>
    <n v="305.93"/>
    <n v="2447.44"/>
    <x v="640"/>
    <x v="637"/>
    <x v="1"/>
    <x v="0"/>
  </r>
  <r>
    <s v="ORD642"/>
    <x v="641"/>
    <s v="Customer_89"/>
    <x v="4"/>
    <x v="10"/>
    <x v="15"/>
    <x v="0"/>
    <x v="3"/>
    <x v="1"/>
    <n v="327.3"/>
    <n v="2618.4"/>
    <x v="641"/>
    <x v="638"/>
    <x v="1"/>
    <x v="0"/>
  </r>
  <r>
    <s v="ORD643"/>
    <x v="642"/>
    <s v="Customer_69"/>
    <x v="2"/>
    <x v="13"/>
    <x v="42"/>
    <x v="0"/>
    <x v="2"/>
    <x v="1"/>
    <n v="27.58"/>
    <n v="220.64"/>
    <x v="642"/>
    <x v="639"/>
    <x v="0"/>
    <x v="0"/>
  </r>
  <r>
    <s v="ORD644"/>
    <x v="643"/>
    <s v="Customer_154"/>
    <x v="0"/>
    <x v="1"/>
    <x v="57"/>
    <x v="0"/>
    <x v="1"/>
    <x v="2"/>
    <n v="343.44"/>
    <n v="1030.32"/>
    <x v="643"/>
    <x v="640"/>
    <x v="0"/>
    <x v="0"/>
  </r>
  <r>
    <s v="ORD645"/>
    <x v="644"/>
    <s v="Customer_20"/>
    <x v="3"/>
    <x v="4"/>
    <x v="55"/>
    <x v="0"/>
    <x v="1"/>
    <x v="1"/>
    <n v="72.38"/>
    <n v="579.04"/>
    <x v="644"/>
    <x v="641"/>
    <x v="0"/>
    <x v="0"/>
  </r>
  <r>
    <s v="ORD646"/>
    <x v="645"/>
    <s v="Customer_198"/>
    <x v="1"/>
    <x v="7"/>
    <x v="31"/>
    <x v="0"/>
    <x v="3"/>
    <x v="8"/>
    <n v="333.18"/>
    <n v="1665.9"/>
    <x v="645"/>
    <x v="642"/>
    <x v="1"/>
    <x v="2"/>
  </r>
  <r>
    <s v="ORD647"/>
    <x v="646"/>
    <s v="Customer_199"/>
    <x v="0"/>
    <x v="1"/>
    <x v="1"/>
    <x v="0"/>
    <x v="3"/>
    <x v="8"/>
    <n v="215.97"/>
    <n v="1079.8499999999999"/>
    <x v="646"/>
    <x v="643"/>
    <x v="0"/>
    <x v="2"/>
  </r>
  <r>
    <s v="ORD648"/>
    <x v="647"/>
    <s v="Customer_89"/>
    <x v="0"/>
    <x v="0"/>
    <x v="18"/>
    <x v="0"/>
    <x v="0"/>
    <x v="0"/>
    <n v="172.34"/>
    <n v="689.36"/>
    <x v="647"/>
    <x v="644"/>
    <x v="0"/>
    <x v="2"/>
  </r>
  <r>
    <s v="ORD649"/>
    <x v="648"/>
    <s v="Customer_151"/>
    <x v="3"/>
    <x v="4"/>
    <x v="5"/>
    <x v="0"/>
    <x v="1"/>
    <x v="0"/>
    <n v="254.91"/>
    <n v="1019.64"/>
    <x v="648"/>
    <x v="645"/>
    <x v="0"/>
    <x v="0"/>
  </r>
  <r>
    <s v="ORD650"/>
    <x v="649"/>
    <s v="Customer_130"/>
    <x v="0"/>
    <x v="12"/>
    <x v="21"/>
    <x v="0"/>
    <x v="2"/>
    <x v="3"/>
    <n v="184.89"/>
    <n v="1848.8999999999999"/>
    <x v="649"/>
    <x v="646"/>
    <x v="1"/>
    <x v="2"/>
  </r>
  <r>
    <s v="ORD651"/>
    <x v="650"/>
    <s v="Customer_155"/>
    <x v="0"/>
    <x v="15"/>
    <x v="49"/>
    <x v="0"/>
    <x v="0"/>
    <x v="5"/>
    <n v="62.95"/>
    <n v="62.95"/>
    <x v="650"/>
    <x v="647"/>
    <x v="0"/>
    <x v="1"/>
  </r>
  <r>
    <s v="ORD652"/>
    <x v="651"/>
    <s v="Customer_72"/>
    <x v="0"/>
    <x v="12"/>
    <x v="24"/>
    <x v="0"/>
    <x v="3"/>
    <x v="2"/>
    <n v="293.76"/>
    <n v="881.28"/>
    <x v="651"/>
    <x v="648"/>
    <x v="0"/>
    <x v="0"/>
  </r>
  <r>
    <s v="ORD653"/>
    <x v="652"/>
    <s v="Customer_5"/>
    <x v="1"/>
    <x v="2"/>
    <x v="77"/>
    <x v="0"/>
    <x v="0"/>
    <x v="0"/>
    <n v="394.54"/>
    <n v="1578.16"/>
    <x v="652"/>
    <x v="649"/>
    <x v="1"/>
    <x v="1"/>
  </r>
  <r>
    <s v="ORD654"/>
    <x v="653"/>
    <s v="Customer_75"/>
    <x v="2"/>
    <x v="13"/>
    <x v="42"/>
    <x v="0"/>
    <x v="2"/>
    <x v="2"/>
    <n v="366.5"/>
    <n v="1099.5"/>
    <x v="653"/>
    <x v="650"/>
    <x v="0"/>
    <x v="2"/>
  </r>
  <r>
    <s v="ORD655"/>
    <x v="654"/>
    <s v="Customer_68"/>
    <x v="1"/>
    <x v="6"/>
    <x v="50"/>
    <x v="0"/>
    <x v="3"/>
    <x v="6"/>
    <n v="477.05"/>
    <n v="4293.45"/>
    <x v="654"/>
    <x v="651"/>
    <x v="1"/>
    <x v="1"/>
  </r>
  <r>
    <s v="ORD656"/>
    <x v="655"/>
    <s v="Customer_175"/>
    <x v="1"/>
    <x v="6"/>
    <x v="7"/>
    <x v="0"/>
    <x v="3"/>
    <x v="9"/>
    <n v="25.67"/>
    <n v="51.34"/>
    <x v="655"/>
    <x v="652"/>
    <x v="0"/>
    <x v="2"/>
  </r>
  <r>
    <s v="ORD657"/>
    <x v="656"/>
    <s v="Customer_150"/>
    <x v="0"/>
    <x v="1"/>
    <x v="44"/>
    <x v="0"/>
    <x v="1"/>
    <x v="6"/>
    <n v="203.53"/>
    <n v="1831.77"/>
    <x v="656"/>
    <x v="653"/>
    <x v="1"/>
    <x v="2"/>
  </r>
  <r>
    <s v="ORD658"/>
    <x v="657"/>
    <s v="Customer_199"/>
    <x v="0"/>
    <x v="9"/>
    <x v="16"/>
    <x v="0"/>
    <x v="2"/>
    <x v="7"/>
    <n v="340.59"/>
    <n v="2043.54"/>
    <x v="657"/>
    <x v="654"/>
    <x v="1"/>
    <x v="0"/>
  </r>
  <r>
    <s v="ORD659"/>
    <x v="658"/>
    <s v="Customer_19"/>
    <x v="4"/>
    <x v="5"/>
    <x v="59"/>
    <x v="0"/>
    <x v="2"/>
    <x v="6"/>
    <n v="124.11"/>
    <n v="1116.99"/>
    <x v="658"/>
    <x v="655"/>
    <x v="0"/>
    <x v="2"/>
  </r>
  <r>
    <s v="ORD660"/>
    <x v="659"/>
    <s v="Customer_91"/>
    <x v="3"/>
    <x v="4"/>
    <x v="10"/>
    <x v="0"/>
    <x v="2"/>
    <x v="8"/>
    <n v="487.88"/>
    <n v="2439.4"/>
    <x v="659"/>
    <x v="656"/>
    <x v="1"/>
    <x v="2"/>
  </r>
  <r>
    <s v="ORD661"/>
    <x v="660"/>
    <s v="Customer_46"/>
    <x v="4"/>
    <x v="10"/>
    <x v="69"/>
    <x v="0"/>
    <x v="0"/>
    <x v="6"/>
    <n v="194.26"/>
    <n v="1748.34"/>
    <x v="660"/>
    <x v="657"/>
    <x v="1"/>
    <x v="2"/>
  </r>
  <r>
    <s v="ORD662"/>
    <x v="661"/>
    <s v="Customer_45"/>
    <x v="1"/>
    <x v="2"/>
    <x v="39"/>
    <x v="0"/>
    <x v="3"/>
    <x v="5"/>
    <n v="136.38"/>
    <n v="136.38"/>
    <x v="661"/>
    <x v="658"/>
    <x v="0"/>
    <x v="0"/>
  </r>
  <r>
    <s v="ORD663"/>
    <x v="662"/>
    <s v="Customer_127"/>
    <x v="2"/>
    <x v="11"/>
    <x v="64"/>
    <x v="0"/>
    <x v="1"/>
    <x v="8"/>
    <n v="283.8"/>
    <n v="1419"/>
    <x v="662"/>
    <x v="659"/>
    <x v="0"/>
    <x v="2"/>
  </r>
  <r>
    <s v="ORD664"/>
    <x v="663"/>
    <s v="Customer_18"/>
    <x v="1"/>
    <x v="14"/>
    <x v="58"/>
    <x v="0"/>
    <x v="1"/>
    <x v="3"/>
    <n v="349.92"/>
    <n v="3499.2000000000003"/>
    <x v="663"/>
    <x v="660"/>
    <x v="1"/>
    <x v="1"/>
  </r>
  <r>
    <s v="ORD665"/>
    <x v="664"/>
    <s v="Customer_51"/>
    <x v="3"/>
    <x v="4"/>
    <x v="5"/>
    <x v="0"/>
    <x v="2"/>
    <x v="2"/>
    <n v="173.38"/>
    <n v="520.14"/>
    <x v="664"/>
    <x v="661"/>
    <x v="0"/>
    <x v="2"/>
  </r>
  <r>
    <s v="ORD666"/>
    <x v="665"/>
    <s v="Customer_99"/>
    <x v="1"/>
    <x v="7"/>
    <x v="45"/>
    <x v="0"/>
    <x v="1"/>
    <x v="9"/>
    <n v="302.68"/>
    <n v="605.36"/>
    <x v="665"/>
    <x v="662"/>
    <x v="0"/>
    <x v="2"/>
  </r>
  <r>
    <s v="ORD667"/>
    <x v="666"/>
    <s v="Customer_161"/>
    <x v="0"/>
    <x v="9"/>
    <x v="74"/>
    <x v="0"/>
    <x v="3"/>
    <x v="1"/>
    <n v="475.81"/>
    <n v="3806.48"/>
    <x v="666"/>
    <x v="663"/>
    <x v="1"/>
    <x v="2"/>
  </r>
  <r>
    <s v="ORD668"/>
    <x v="667"/>
    <s v="Customer_106"/>
    <x v="3"/>
    <x v="4"/>
    <x v="40"/>
    <x v="0"/>
    <x v="2"/>
    <x v="8"/>
    <n v="164.82"/>
    <n v="824.09999999999991"/>
    <x v="667"/>
    <x v="664"/>
    <x v="0"/>
    <x v="0"/>
  </r>
  <r>
    <s v="ORD669"/>
    <x v="668"/>
    <s v="Customer_187"/>
    <x v="1"/>
    <x v="14"/>
    <x v="76"/>
    <x v="0"/>
    <x v="2"/>
    <x v="1"/>
    <n v="34"/>
    <n v="272"/>
    <x v="668"/>
    <x v="665"/>
    <x v="0"/>
    <x v="2"/>
  </r>
  <r>
    <s v="ORD670"/>
    <x v="669"/>
    <s v="Customer_72"/>
    <x v="0"/>
    <x v="12"/>
    <x v="24"/>
    <x v="0"/>
    <x v="1"/>
    <x v="3"/>
    <n v="399.41"/>
    <n v="3994.1000000000004"/>
    <x v="669"/>
    <x v="666"/>
    <x v="1"/>
    <x v="2"/>
  </r>
  <r>
    <s v="ORD671"/>
    <x v="670"/>
    <s v="Customer_59"/>
    <x v="1"/>
    <x v="14"/>
    <x v="58"/>
    <x v="0"/>
    <x v="1"/>
    <x v="1"/>
    <n v="472.52"/>
    <n v="3780.16"/>
    <x v="670"/>
    <x v="667"/>
    <x v="1"/>
    <x v="0"/>
  </r>
  <r>
    <s v="ORD672"/>
    <x v="671"/>
    <s v="Customer_11"/>
    <x v="0"/>
    <x v="9"/>
    <x v="36"/>
    <x v="0"/>
    <x v="3"/>
    <x v="0"/>
    <n v="429.83"/>
    <n v="1719.32"/>
    <x v="671"/>
    <x v="668"/>
    <x v="1"/>
    <x v="2"/>
  </r>
  <r>
    <s v="ORD673"/>
    <x v="672"/>
    <s v="Customer_24"/>
    <x v="1"/>
    <x v="7"/>
    <x v="27"/>
    <x v="0"/>
    <x v="0"/>
    <x v="4"/>
    <n v="167.76"/>
    <n v="1174.32"/>
    <x v="672"/>
    <x v="669"/>
    <x v="0"/>
    <x v="2"/>
  </r>
  <r>
    <s v="ORD674"/>
    <x v="673"/>
    <s v="Customer_156"/>
    <x v="2"/>
    <x v="3"/>
    <x v="17"/>
    <x v="0"/>
    <x v="1"/>
    <x v="1"/>
    <n v="69"/>
    <n v="552"/>
    <x v="673"/>
    <x v="670"/>
    <x v="0"/>
    <x v="0"/>
  </r>
  <r>
    <s v="ORD675"/>
    <x v="674"/>
    <s v="Customer_197"/>
    <x v="0"/>
    <x v="0"/>
    <x v="78"/>
    <x v="0"/>
    <x v="2"/>
    <x v="4"/>
    <n v="274.82"/>
    <n v="1923.74"/>
    <x v="674"/>
    <x v="671"/>
    <x v="1"/>
    <x v="0"/>
  </r>
  <r>
    <s v="ORD676"/>
    <x v="675"/>
    <s v="Customer_94"/>
    <x v="3"/>
    <x v="4"/>
    <x v="40"/>
    <x v="0"/>
    <x v="2"/>
    <x v="5"/>
    <n v="258.33999999999997"/>
    <n v="258.33999999999997"/>
    <x v="675"/>
    <x v="672"/>
    <x v="0"/>
    <x v="2"/>
  </r>
  <r>
    <s v="ORD677"/>
    <x v="676"/>
    <s v="Customer_80"/>
    <x v="1"/>
    <x v="14"/>
    <x v="43"/>
    <x v="0"/>
    <x v="3"/>
    <x v="1"/>
    <n v="241.71"/>
    <n v="1933.68"/>
    <x v="676"/>
    <x v="673"/>
    <x v="1"/>
    <x v="1"/>
  </r>
  <r>
    <s v="ORD678"/>
    <x v="677"/>
    <s v="Customer_137"/>
    <x v="2"/>
    <x v="3"/>
    <x v="17"/>
    <x v="0"/>
    <x v="2"/>
    <x v="7"/>
    <n v="310.36"/>
    <n v="1862.16"/>
    <x v="677"/>
    <x v="674"/>
    <x v="1"/>
    <x v="2"/>
  </r>
  <r>
    <s v="ORD679"/>
    <x v="678"/>
    <s v="Customer_145"/>
    <x v="0"/>
    <x v="12"/>
    <x v="71"/>
    <x v="0"/>
    <x v="0"/>
    <x v="0"/>
    <n v="397.95"/>
    <n v="1591.8"/>
    <x v="678"/>
    <x v="675"/>
    <x v="1"/>
    <x v="1"/>
  </r>
  <r>
    <s v="ORD680"/>
    <x v="679"/>
    <s v="Customer_130"/>
    <x v="1"/>
    <x v="2"/>
    <x v="33"/>
    <x v="0"/>
    <x v="0"/>
    <x v="6"/>
    <n v="192.79"/>
    <n v="1735.11"/>
    <x v="679"/>
    <x v="676"/>
    <x v="1"/>
    <x v="0"/>
  </r>
  <r>
    <s v="ORD681"/>
    <x v="680"/>
    <s v="Customer_93"/>
    <x v="4"/>
    <x v="8"/>
    <x v="61"/>
    <x v="0"/>
    <x v="3"/>
    <x v="0"/>
    <n v="349.83"/>
    <n v="1399.32"/>
    <x v="680"/>
    <x v="677"/>
    <x v="0"/>
    <x v="1"/>
  </r>
  <r>
    <s v="ORD682"/>
    <x v="681"/>
    <s v="Customer_87"/>
    <x v="0"/>
    <x v="0"/>
    <x v="3"/>
    <x v="0"/>
    <x v="2"/>
    <x v="8"/>
    <n v="216.86"/>
    <n v="1084.3000000000002"/>
    <x v="681"/>
    <x v="678"/>
    <x v="0"/>
    <x v="0"/>
  </r>
  <r>
    <s v="ORD683"/>
    <x v="682"/>
    <s v="Customer_52"/>
    <x v="1"/>
    <x v="6"/>
    <x v="50"/>
    <x v="0"/>
    <x v="2"/>
    <x v="2"/>
    <n v="339.68"/>
    <n v="1019.04"/>
    <x v="682"/>
    <x v="679"/>
    <x v="0"/>
    <x v="1"/>
  </r>
  <r>
    <s v="ORD684"/>
    <x v="683"/>
    <s v="Customer_28"/>
    <x v="2"/>
    <x v="11"/>
    <x v="29"/>
    <x v="0"/>
    <x v="0"/>
    <x v="4"/>
    <n v="460.06"/>
    <n v="3220.42"/>
    <x v="683"/>
    <x v="680"/>
    <x v="1"/>
    <x v="0"/>
  </r>
  <r>
    <s v="ORD685"/>
    <x v="684"/>
    <s v="Customer_95"/>
    <x v="1"/>
    <x v="2"/>
    <x v="25"/>
    <x v="0"/>
    <x v="1"/>
    <x v="0"/>
    <n v="87.07"/>
    <n v="348.28"/>
    <x v="684"/>
    <x v="681"/>
    <x v="0"/>
    <x v="0"/>
  </r>
  <r>
    <s v="ORD686"/>
    <x v="685"/>
    <s v="Customer_54"/>
    <x v="4"/>
    <x v="10"/>
    <x v="66"/>
    <x v="0"/>
    <x v="2"/>
    <x v="4"/>
    <n v="176.36"/>
    <n v="1234.52"/>
    <x v="685"/>
    <x v="682"/>
    <x v="0"/>
    <x v="2"/>
  </r>
  <r>
    <s v="ORD687"/>
    <x v="686"/>
    <s v="Customer_77"/>
    <x v="1"/>
    <x v="6"/>
    <x v="7"/>
    <x v="0"/>
    <x v="1"/>
    <x v="9"/>
    <n v="251.71"/>
    <n v="503.42"/>
    <x v="686"/>
    <x v="683"/>
    <x v="0"/>
    <x v="2"/>
  </r>
  <r>
    <s v="ORD688"/>
    <x v="687"/>
    <s v="Customer_11"/>
    <x v="4"/>
    <x v="10"/>
    <x v="70"/>
    <x v="0"/>
    <x v="3"/>
    <x v="6"/>
    <n v="168.98"/>
    <n v="1520.82"/>
    <x v="687"/>
    <x v="684"/>
    <x v="1"/>
    <x v="1"/>
  </r>
  <r>
    <s v="ORD689"/>
    <x v="688"/>
    <s v="Customer_38"/>
    <x v="4"/>
    <x v="8"/>
    <x v="13"/>
    <x v="0"/>
    <x v="1"/>
    <x v="4"/>
    <n v="474.65"/>
    <n v="3322.5499999999997"/>
    <x v="688"/>
    <x v="685"/>
    <x v="1"/>
    <x v="0"/>
  </r>
  <r>
    <s v="ORD690"/>
    <x v="689"/>
    <s v="Customer_168"/>
    <x v="1"/>
    <x v="7"/>
    <x v="11"/>
    <x v="0"/>
    <x v="3"/>
    <x v="3"/>
    <n v="485.57"/>
    <n v="4855.7"/>
    <x v="689"/>
    <x v="686"/>
    <x v="1"/>
    <x v="1"/>
  </r>
  <r>
    <s v="ORD691"/>
    <x v="690"/>
    <s v="Customer_160"/>
    <x v="1"/>
    <x v="7"/>
    <x v="11"/>
    <x v="0"/>
    <x v="0"/>
    <x v="2"/>
    <n v="33.96"/>
    <n v="101.88"/>
    <x v="690"/>
    <x v="687"/>
    <x v="0"/>
    <x v="0"/>
  </r>
  <r>
    <s v="ORD692"/>
    <x v="691"/>
    <s v="Customer_188"/>
    <x v="0"/>
    <x v="9"/>
    <x v="14"/>
    <x v="0"/>
    <x v="3"/>
    <x v="5"/>
    <n v="105.09"/>
    <n v="105.09"/>
    <x v="691"/>
    <x v="688"/>
    <x v="0"/>
    <x v="0"/>
  </r>
  <r>
    <s v="ORD693"/>
    <x v="692"/>
    <s v="Customer_123"/>
    <x v="4"/>
    <x v="10"/>
    <x v="69"/>
    <x v="0"/>
    <x v="1"/>
    <x v="6"/>
    <n v="433.53"/>
    <n v="3901.7699999999995"/>
    <x v="692"/>
    <x v="689"/>
    <x v="1"/>
    <x v="2"/>
  </r>
  <r>
    <s v="ORD694"/>
    <x v="693"/>
    <s v="Customer_141"/>
    <x v="2"/>
    <x v="3"/>
    <x v="17"/>
    <x v="0"/>
    <x v="3"/>
    <x v="8"/>
    <n v="38.72"/>
    <n v="193.6"/>
    <x v="693"/>
    <x v="690"/>
    <x v="0"/>
    <x v="2"/>
  </r>
  <r>
    <s v="ORD695"/>
    <x v="694"/>
    <s v="Customer_67"/>
    <x v="1"/>
    <x v="7"/>
    <x v="27"/>
    <x v="0"/>
    <x v="1"/>
    <x v="2"/>
    <n v="111.61"/>
    <n v="334.83"/>
    <x v="694"/>
    <x v="691"/>
    <x v="0"/>
    <x v="0"/>
  </r>
  <r>
    <s v="ORD696"/>
    <x v="695"/>
    <s v="Customer_169"/>
    <x v="0"/>
    <x v="1"/>
    <x v="32"/>
    <x v="0"/>
    <x v="3"/>
    <x v="9"/>
    <n v="143.04"/>
    <n v="286.08"/>
    <x v="695"/>
    <x v="692"/>
    <x v="0"/>
    <x v="0"/>
  </r>
  <r>
    <s v="ORD697"/>
    <x v="696"/>
    <s v="Customer_165"/>
    <x v="2"/>
    <x v="13"/>
    <x v="34"/>
    <x v="0"/>
    <x v="0"/>
    <x v="2"/>
    <n v="465.51"/>
    <n v="1396.53"/>
    <x v="696"/>
    <x v="693"/>
    <x v="1"/>
    <x v="0"/>
  </r>
  <r>
    <s v="ORD698"/>
    <x v="697"/>
    <s v="Customer_61"/>
    <x v="2"/>
    <x v="3"/>
    <x v="51"/>
    <x v="0"/>
    <x v="0"/>
    <x v="9"/>
    <n v="382.35"/>
    <n v="764.7"/>
    <x v="697"/>
    <x v="694"/>
    <x v="0"/>
    <x v="0"/>
  </r>
  <r>
    <s v="ORD699"/>
    <x v="698"/>
    <s v="Customer_128"/>
    <x v="1"/>
    <x v="7"/>
    <x v="31"/>
    <x v="0"/>
    <x v="2"/>
    <x v="7"/>
    <n v="291.27"/>
    <n v="1747.62"/>
    <x v="698"/>
    <x v="695"/>
    <x v="1"/>
    <x v="1"/>
  </r>
  <r>
    <s v="ORD700"/>
    <x v="699"/>
    <s v="Customer_21"/>
    <x v="2"/>
    <x v="13"/>
    <x v="42"/>
    <x v="0"/>
    <x v="0"/>
    <x v="8"/>
    <n v="247.12"/>
    <n v="1235.5999999999999"/>
    <x v="699"/>
    <x v="696"/>
    <x v="0"/>
    <x v="0"/>
  </r>
  <r>
    <s v="ORD701"/>
    <x v="700"/>
    <s v="Customer_120"/>
    <x v="2"/>
    <x v="11"/>
    <x v="47"/>
    <x v="0"/>
    <x v="0"/>
    <x v="1"/>
    <n v="489.01"/>
    <n v="3912.08"/>
    <x v="700"/>
    <x v="697"/>
    <x v="1"/>
    <x v="0"/>
  </r>
  <r>
    <s v="ORD702"/>
    <x v="701"/>
    <s v="Customer_71"/>
    <x v="2"/>
    <x v="3"/>
    <x v="48"/>
    <x v="0"/>
    <x v="1"/>
    <x v="2"/>
    <n v="348.48"/>
    <n v="1045.44"/>
    <x v="701"/>
    <x v="698"/>
    <x v="0"/>
    <x v="2"/>
  </r>
  <r>
    <s v="ORD703"/>
    <x v="702"/>
    <s v="Customer_88"/>
    <x v="1"/>
    <x v="14"/>
    <x v="76"/>
    <x v="0"/>
    <x v="2"/>
    <x v="1"/>
    <n v="465.5"/>
    <n v="3724"/>
    <x v="702"/>
    <x v="699"/>
    <x v="1"/>
    <x v="0"/>
  </r>
  <r>
    <s v="ORD704"/>
    <x v="703"/>
    <s v="Customer_150"/>
    <x v="2"/>
    <x v="13"/>
    <x v="56"/>
    <x v="0"/>
    <x v="2"/>
    <x v="6"/>
    <n v="204.66"/>
    <n v="1841.94"/>
    <x v="703"/>
    <x v="700"/>
    <x v="1"/>
    <x v="0"/>
  </r>
  <r>
    <s v="ORD705"/>
    <x v="704"/>
    <s v="Customer_25"/>
    <x v="1"/>
    <x v="6"/>
    <x v="50"/>
    <x v="0"/>
    <x v="2"/>
    <x v="6"/>
    <n v="27.25"/>
    <n v="245.25"/>
    <x v="704"/>
    <x v="701"/>
    <x v="0"/>
    <x v="0"/>
  </r>
  <r>
    <s v="ORD706"/>
    <x v="705"/>
    <s v="Customer_170"/>
    <x v="0"/>
    <x v="15"/>
    <x v="49"/>
    <x v="0"/>
    <x v="0"/>
    <x v="2"/>
    <n v="306.41000000000003"/>
    <n v="919.23"/>
    <x v="705"/>
    <x v="702"/>
    <x v="0"/>
    <x v="1"/>
  </r>
  <r>
    <s v="ORD707"/>
    <x v="706"/>
    <s v="Customer_48"/>
    <x v="4"/>
    <x v="10"/>
    <x v="70"/>
    <x v="0"/>
    <x v="0"/>
    <x v="3"/>
    <n v="128.22999999999999"/>
    <n v="1282.3"/>
    <x v="706"/>
    <x v="703"/>
    <x v="0"/>
    <x v="2"/>
  </r>
  <r>
    <s v="ORD708"/>
    <x v="707"/>
    <s v="Customer_138"/>
    <x v="1"/>
    <x v="7"/>
    <x v="45"/>
    <x v="0"/>
    <x v="1"/>
    <x v="2"/>
    <n v="364.59"/>
    <n v="1093.77"/>
    <x v="707"/>
    <x v="704"/>
    <x v="0"/>
    <x v="2"/>
  </r>
  <r>
    <s v="ORD709"/>
    <x v="708"/>
    <s v="Customer_108"/>
    <x v="0"/>
    <x v="9"/>
    <x v="16"/>
    <x v="0"/>
    <x v="2"/>
    <x v="4"/>
    <n v="171.51"/>
    <n v="1200.57"/>
    <x v="708"/>
    <x v="705"/>
    <x v="0"/>
    <x v="0"/>
  </r>
  <r>
    <s v="ORD710"/>
    <x v="709"/>
    <s v="Customer_48"/>
    <x v="4"/>
    <x v="8"/>
    <x v="61"/>
    <x v="0"/>
    <x v="3"/>
    <x v="3"/>
    <n v="21.75"/>
    <n v="217.5"/>
    <x v="709"/>
    <x v="706"/>
    <x v="0"/>
    <x v="0"/>
  </r>
  <r>
    <s v="ORD711"/>
    <x v="710"/>
    <s v="Customer_69"/>
    <x v="1"/>
    <x v="2"/>
    <x v="77"/>
    <x v="0"/>
    <x v="2"/>
    <x v="7"/>
    <n v="250.23"/>
    <n v="1501.3799999999999"/>
    <x v="710"/>
    <x v="707"/>
    <x v="0"/>
    <x v="2"/>
  </r>
  <r>
    <s v="ORD712"/>
    <x v="711"/>
    <s v="Customer_32"/>
    <x v="1"/>
    <x v="7"/>
    <x v="11"/>
    <x v="0"/>
    <x v="3"/>
    <x v="7"/>
    <n v="69.180000000000007"/>
    <n v="415.08000000000004"/>
    <x v="711"/>
    <x v="708"/>
    <x v="0"/>
    <x v="0"/>
  </r>
  <r>
    <s v="ORD713"/>
    <x v="712"/>
    <s v="Customer_119"/>
    <x v="4"/>
    <x v="8"/>
    <x v="28"/>
    <x v="0"/>
    <x v="0"/>
    <x v="9"/>
    <n v="495.79"/>
    <n v="991.58"/>
    <x v="712"/>
    <x v="709"/>
    <x v="0"/>
    <x v="1"/>
  </r>
  <r>
    <s v="ORD714"/>
    <x v="713"/>
    <s v="Customer_72"/>
    <x v="2"/>
    <x v="11"/>
    <x v="47"/>
    <x v="0"/>
    <x v="2"/>
    <x v="4"/>
    <n v="250.91"/>
    <n v="1756.37"/>
    <x v="713"/>
    <x v="710"/>
    <x v="1"/>
    <x v="1"/>
  </r>
  <r>
    <s v="ORD715"/>
    <x v="714"/>
    <s v="Customer_158"/>
    <x v="1"/>
    <x v="14"/>
    <x v="76"/>
    <x v="0"/>
    <x v="2"/>
    <x v="1"/>
    <n v="187.02"/>
    <n v="1496.16"/>
    <x v="714"/>
    <x v="711"/>
    <x v="1"/>
    <x v="1"/>
  </r>
  <r>
    <s v="ORD716"/>
    <x v="715"/>
    <s v="Customer_156"/>
    <x v="0"/>
    <x v="9"/>
    <x v="74"/>
    <x v="0"/>
    <x v="0"/>
    <x v="7"/>
    <n v="340.29"/>
    <n v="2041.7400000000002"/>
    <x v="715"/>
    <x v="712"/>
    <x v="1"/>
    <x v="2"/>
  </r>
  <r>
    <s v="ORD717"/>
    <x v="716"/>
    <s v="Customer_194"/>
    <x v="2"/>
    <x v="13"/>
    <x v="34"/>
    <x v="0"/>
    <x v="2"/>
    <x v="9"/>
    <n v="383.95"/>
    <n v="767.9"/>
    <x v="169"/>
    <x v="713"/>
    <x v="0"/>
    <x v="1"/>
  </r>
  <r>
    <s v="ORD718"/>
    <x v="717"/>
    <s v="Customer_122"/>
    <x v="2"/>
    <x v="3"/>
    <x v="51"/>
    <x v="0"/>
    <x v="0"/>
    <x v="2"/>
    <n v="454.38"/>
    <n v="1363.1399999999999"/>
    <x v="716"/>
    <x v="714"/>
    <x v="0"/>
    <x v="0"/>
  </r>
  <r>
    <s v="ORD719"/>
    <x v="718"/>
    <s v="Customer_96"/>
    <x v="0"/>
    <x v="0"/>
    <x v="3"/>
    <x v="0"/>
    <x v="1"/>
    <x v="0"/>
    <n v="119.28"/>
    <n v="477.12"/>
    <x v="717"/>
    <x v="715"/>
    <x v="0"/>
    <x v="1"/>
  </r>
  <r>
    <s v="ORD720"/>
    <x v="719"/>
    <s v="Customer_190"/>
    <x v="1"/>
    <x v="14"/>
    <x v="26"/>
    <x v="0"/>
    <x v="0"/>
    <x v="4"/>
    <n v="484.15"/>
    <n v="3389.0499999999997"/>
    <x v="718"/>
    <x v="716"/>
    <x v="1"/>
    <x v="2"/>
  </r>
  <r>
    <s v="ORD721"/>
    <x v="720"/>
    <s v="Customer_81"/>
    <x v="0"/>
    <x v="1"/>
    <x v="32"/>
    <x v="0"/>
    <x v="0"/>
    <x v="6"/>
    <n v="423.73"/>
    <n v="3813.57"/>
    <x v="719"/>
    <x v="717"/>
    <x v="1"/>
    <x v="0"/>
  </r>
  <r>
    <s v="ORD722"/>
    <x v="721"/>
    <s v="Customer_135"/>
    <x v="4"/>
    <x v="10"/>
    <x v="66"/>
    <x v="0"/>
    <x v="1"/>
    <x v="7"/>
    <n v="146.27000000000001"/>
    <n v="877.62000000000012"/>
    <x v="720"/>
    <x v="718"/>
    <x v="0"/>
    <x v="1"/>
  </r>
  <r>
    <s v="ORD723"/>
    <x v="722"/>
    <s v="Customer_170"/>
    <x v="2"/>
    <x v="3"/>
    <x v="4"/>
    <x v="0"/>
    <x v="2"/>
    <x v="6"/>
    <n v="490.26"/>
    <n v="4412.34"/>
    <x v="721"/>
    <x v="719"/>
    <x v="1"/>
    <x v="2"/>
  </r>
  <r>
    <s v="ORD724"/>
    <x v="723"/>
    <s v="Customer_171"/>
    <x v="4"/>
    <x v="10"/>
    <x v="66"/>
    <x v="0"/>
    <x v="0"/>
    <x v="7"/>
    <n v="79.430000000000007"/>
    <n v="476.58000000000004"/>
    <x v="722"/>
    <x v="720"/>
    <x v="0"/>
    <x v="2"/>
  </r>
  <r>
    <s v="ORD725"/>
    <x v="724"/>
    <s v="Customer_24"/>
    <x v="0"/>
    <x v="12"/>
    <x v="60"/>
    <x v="0"/>
    <x v="2"/>
    <x v="8"/>
    <n v="79.2"/>
    <n v="396"/>
    <x v="723"/>
    <x v="721"/>
    <x v="0"/>
    <x v="1"/>
  </r>
  <r>
    <s v="ORD726"/>
    <x v="725"/>
    <s v="Customer_4"/>
    <x v="4"/>
    <x v="10"/>
    <x v="53"/>
    <x v="0"/>
    <x v="3"/>
    <x v="6"/>
    <n v="452.93"/>
    <n v="4076.37"/>
    <x v="724"/>
    <x v="722"/>
    <x v="1"/>
    <x v="2"/>
  </r>
  <r>
    <s v="ORD727"/>
    <x v="726"/>
    <s v="Customer_28"/>
    <x v="2"/>
    <x v="3"/>
    <x v="51"/>
    <x v="0"/>
    <x v="3"/>
    <x v="5"/>
    <n v="427.92"/>
    <n v="427.92"/>
    <x v="725"/>
    <x v="723"/>
    <x v="0"/>
    <x v="1"/>
  </r>
  <r>
    <s v="ORD728"/>
    <x v="727"/>
    <s v="Customer_51"/>
    <x v="1"/>
    <x v="14"/>
    <x v="26"/>
    <x v="0"/>
    <x v="0"/>
    <x v="4"/>
    <n v="198.52"/>
    <n v="1389.64"/>
    <x v="726"/>
    <x v="724"/>
    <x v="0"/>
    <x v="1"/>
  </r>
  <r>
    <s v="ORD729"/>
    <x v="728"/>
    <s v="Customer_166"/>
    <x v="4"/>
    <x v="10"/>
    <x v="53"/>
    <x v="0"/>
    <x v="1"/>
    <x v="9"/>
    <n v="313.18"/>
    <n v="626.36"/>
    <x v="727"/>
    <x v="725"/>
    <x v="0"/>
    <x v="0"/>
  </r>
  <r>
    <s v="ORD730"/>
    <x v="729"/>
    <s v="Customer_142"/>
    <x v="2"/>
    <x v="3"/>
    <x v="17"/>
    <x v="0"/>
    <x v="0"/>
    <x v="5"/>
    <n v="27.38"/>
    <n v="27.38"/>
    <x v="728"/>
    <x v="726"/>
    <x v="0"/>
    <x v="2"/>
  </r>
  <r>
    <s v="ORD731"/>
    <x v="730"/>
    <s v="Customer_161"/>
    <x v="2"/>
    <x v="11"/>
    <x v="64"/>
    <x v="0"/>
    <x v="1"/>
    <x v="6"/>
    <n v="210.66"/>
    <n v="1895.94"/>
    <x v="729"/>
    <x v="727"/>
    <x v="1"/>
    <x v="0"/>
  </r>
  <r>
    <s v="ORD732"/>
    <x v="731"/>
    <s v="Customer_111"/>
    <x v="2"/>
    <x v="11"/>
    <x v="47"/>
    <x v="0"/>
    <x v="0"/>
    <x v="7"/>
    <n v="137.61000000000001"/>
    <n v="825.66000000000008"/>
    <x v="730"/>
    <x v="728"/>
    <x v="0"/>
    <x v="1"/>
  </r>
  <r>
    <s v="ORD733"/>
    <x v="732"/>
    <s v="Customer_39"/>
    <x v="4"/>
    <x v="8"/>
    <x v="72"/>
    <x v="0"/>
    <x v="0"/>
    <x v="9"/>
    <n v="195.58"/>
    <n v="391.16"/>
    <x v="731"/>
    <x v="729"/>
    <x v="0"/>
    <x v="0"/>
  </r>
  <r>
    <s v="ORD734"/>
    <x v="733"/>
    <s v="Customer_153"/>
    <x v="0"/>
    <x v="9"/>
    <x v="46"/>
    <x v="0"/>
    <x v="1"/>
    <x v="5"/>
    <n v="348.56"/>
    <n v="348.56"/>
    <x v="732"/>
    <x v="730"/>
    <x v="0"/>
    <x v="2"/>
  </r>
  <r>
    <s v="ORD735"/>
    <x v="734"/>
    <s v="Customer_146"/>
    <x v="1"/>
    <x v="6"/>
    <x v="7"/>
    <x v="0"/>
    <x v="3"/>
    <x v="8"/>
    <n v="96.87"/>
    <n v="484.35"/>
    <x v="733"/>
    <x v="731"/>
    <x v="0"/>
    <x v="2"/>
  </r>
  <r>
    <s v="ORD736"/>
    <x v="735"/>
    <s v="Customer_18"/>
    <x v="4"/>
    <x v="10"/>
    <x v="15"/>
    <x v="0"/>
    <x v="2"/>
    <x v="7"/>
    <n v="263.52"/>
    <n v="1581.12"/>
    <x v="734"/>
    <x v="732"/>
    <x v="0"/>
    <x v="0"/>
  </r>
  <r>
    <s v="ORD737"/>
    <x v="736"/>
    <s v="Customer_7"/>
    <x v="2"/>
    <x v="3"/>
    <x v="51"/>
    <x v="0"/>
    <x v="2"/>
    <x v="7"/>
    <n v="185.43"/>
    <n v="1112.58"/>
    <x v="735"/>
    <x v="733"/>
    <x v="0"/>
    <x v="1"/>
  </r>
  <r>
    <s v="ORD738"/>
    <x v="737"/>
    <s v="Customer_107"/>
    <x v="0"/>
    <x v="0"/>
    <x v="3"/>
    <x v="0"/>
    <x v="2"/>
    <x v="2"/>
    <n v="23.94"/>
    <n v="71.820000000000007"/>
    <x v="736"/>
    <x v="734"/>
    <x v="0"/>
    <x v="0"/>
  </r>
  <r>
    <s v="ORD739"/>
    <x v="738"/>
    <s v="Customer_158"/>
    <x v="2"/>
    <x v="13"/>
    <x v="34"/>
    <x v="0"/>
    <x v="0"/>
    <x v="1"/>
    <n v="287.36"/>
    <n v="2298.88"/>
    <x v="737"/>
    <x v="735"/>
    <x v="1"/>
    <x v="2"/>
  </r>
  <r>
    <s v="ORD740"/>
    <x v="739"/>
    <s v="Customer_128"/>
    <x v="4"/>
    <x v="10"/>
    <x v="53"/>
    <x v="0"/>
    <x v="1"/>
    <x v="8"/>
    <n v="223.25"/>
    <n v="1116.25"/>
    <x v="738"/>
    <x v="736"/>
    <x v="0"/>
    <x v="2"/>
  </r>
  <r>
    <s v="ORD741"/>
    <x v="740"/>
    <s v="Customer_161"/>
    <x v="1"/>
    <x v="14"/>
    <x v="63"/>
    <x v="0"/>
    <x v="1"/>
    <x v="3"/>
    <n v="291.66000000000003"/>
    <n v="2916.6000000000004"/>
    <x v="739"/>
    <x v="737"/>
    <x v="1"/>
    <x v="1"/>
  </r>
  <r>
    <s v="ORD742"/>
    <x v="741"/>
    <s v="Customer_25"/>
    <x v="4"/>
    <x v="8"/>
    <x v="72"/>
    <x v="0"/>
    <x v="1"/>
    <x v="9"/>
    <n v="194.99"/>
    <n v="389.98"/>
    <x v="740"/>
    <x v="738"/>
    <x v="0"/>
    <x v="1"/>
  </r>
  <r>
    <s v="ORD743"/>
    <x v="742"/>
    <s v="Customer_52"/>
    <x v="4"/>
    <x v="8"/>
    <x v="13"/>
    <x v="0"/>
    <x v="1"/>
    <x v="1"/>
    <n v="402.23"/>
    <n v="3217.84"/>
    <x v="741"/>
    <x v="739"/>
    <x v="1"/>
    <x v="0"/>
  </r>
  <r>
    <s v="ORD744"/>
    <x v="743"/>
    <s v="Customer_114"/>
    <x v="2"/>
    <x v="13"/>
    <x v="56"/>
    <x v="0"/>
    <x v="2"/>
    <x v="0"/>
    <n v="201.05"/>
    <n v="804.2"/>
    <x v="742"/>
    <x v="740"/>
    <x v="0"/>
    <x v="1"/>
  </r>
  <r>
    <s v="ORD745"/>
    <x v="744"/>
    <s v="Customer_132"/>
    <x v="2"/>
    <x v="11"/>
    <x v="29"/>
    <x v="0"/>
    <x v="1"/>
    <x v="8"/>
    <n v="443.24"/>
    <n v="2216.1999999999998"/>
    <x v="743"/>
    <x v="741"/>
    <x v="1"/>
    <x v="1"/>
  </r>
  <r>
    <s v="ORD746"/>
    <x v="745"/>
    <s v="Customer_182"/>
    <x v="1"/>
    <x v="7"/>
    <x v="11"/>
    <x v="0"/>
    <x v="3"/>
    <x v="3"/>
    <n v="200.84"/>
    <n v="2008.4"/>
    <x v="744"/>
    <x v="742"/>
    <x v="1"/>
    <x v="2"/>
  </r>
  <r>
    <s v="ORD747"/>
    <x v="746"/>
    <s v="Customer_36"/>
    <x v="0"/>
    <x v="12"/>
    <x v="60"/>
    <x v="0"/>
    <x v="0"/>
    <x v="5"/>
    <n v="303.64999999999998"/>
    <n v="303.64999999999998"/>
    <x v="745"/>
    <x v="743"/>
    <x v="0"/>
    <x v="2"/>
  </r>
  <r>
    <s v="ORD748"/>
    <x v="747"/>
    <s v="Customer_178"/>
    <x v="1"/>
    <x v="2"/>
    <x v="39"/>
    <x v="0"/>
    <x v="3"/>
    <x v="1"/>
    <n v="394.04"/>
    <n v="3152.32"/>
    <x v="746"/>
    <x v="744"/>
    <x v="1"/>
    <x v="0"/>
  </r>
  <r>
    <s v="ORD749"/>
    <x v="748"/>
    <s v="Customer_117"/>
    <x v="1"/>
    <x v="2"/>
    <x v="33"/>
    <x v="0"/>
    <x v="1"/>
    <x v="1"/>
    <n v="467.2"/>
    <n v="3737.6"/>
    <x v="747"/>
    <x v="745"/>
    <x v="1"/>
    <x v="1"/>
  </r>
  <r>
    <s v="ORD750"/>
    <x v="749"/>
    <s v="Customer_131"/>
    <x v="0"/>
    <x v="15"/>
    <x v="52"/>
    <x v="0"/>
    <x v="0"/>
    <x v="6"/>
    <n v="488.1"/>
    <n v="4392.9000000000005"/>
    <x v="748"/>
    <x v="746"/>
    <x v="1"/>
    <x v="0"/>
  </r>
  <r>
    <s v="ORD751"/>
    <x v="750"/>
    <s v="Customer_109"/>
    <x v="2"/>
    <x v="11"/>
    <x v="19"/>
    <x v="0"/>
    <x v="3"/>
    <x v="5"/>
    <n v="269.13"/>
    <n v="269.13"/>
    <x v="749"/>
    <x v="747"/>
    <x v="0"/>
    <x v="0"/>
  </r>
  <r>
    <s v="ORD752"/>
    <x v="751"/>
    <s v="Customer_170"/>
    <x v="1"/>
    <x v="7"/>
    <x v="31"/>
    <x v="0"/>
    <x v="2"/>
    <x v="1"/>
    <n v="421.2"/>
    <n v="3369.6"/>
    <x v="750"/>
    <x v="748"/>
    <x v="1"/>
    <x v="0"/>
  </r>
  <r>
    <s v="ORD753"/>
    <x v="752"/>
    <s v="Customer_37"/>
    <x v="0"/>
    <x v="12"/>
    <x v="60"/>
    <x v="0"/>
    <x v="0"/>
    <x v="1"/>
    <n v="158.77000000000001"/>
    <n v="1270.1600000000001"/>
    <x v="751"/>
    <x v="749"/>
    <x v="0"/>
    <x v="0"/>
  </r>
  <r>
    <s v="ORD754"/>
    <x v="753"/>
    <s v="Customer_18"/>
    <x v="3"/>
    <x v="4"/>
    <x v="10"/>
    <x v="0"/>
    <x v="2"/>
    <x v="3"/>
    <n v="112.84"/>
    <n v="1128.4000000000001"/>
    <x v="752"/>
    <x v="750"/>
    <x v="0"/>
    <x v="1"/>
  </r>
  <r>
    <s v="ORD755"/>
    <x v="754"/>
    <s v="Customer_18"/>
    <x v="1"/>
    <x v="6"/>
    <x v="9"/>
    <x v="0"/>
    <x v="0"/>
    <x v="6"/>
    <n v="335.61"/>
    <n v="3020.4900000000002"/>
    <x v="753"/>
    <x v="751"/>
    <x v="1"/>
    <x v="1"/>
  </r>
  <r>
    <s v="ORD756"/>
    <x v="755"/>
    <s v="Customer_67"/>
    <x v="4"/>
    <x v="10"/>
    <x v="66"/>
    <x v="0"/>
    <x v="0"/>
    <x v="7"/>
    <n v="412.92"/>
    <n v="2477.52"/>
    <x v="754"/>
    <x v="752"/>
    <x v="1"/>
    <x v="1"/>
  </r>
  <r>
    <s v="ORD757"/>
    <x v="756"/>
    <s v="Customer_83"/>
    <x v="2"/>
    <x v="13"/>
    <x v="56"/>
    <x v="0"/>
    <x v="3"/>
    <x v="0"/>
    <n v="136.18"/>
    <n v="544.72"/>
    <x v="755"/>
    <x v="753"/>
    <x v="0"/>
    <x v="0"/>
  </r>
  <r>
    <s v="ORD758"/>
    <x v="757"/>
    <s v="Customer_65"/>
    <x v="2"/>
    <x v="11"/>
    <x v="19"/>
    <x v="0"/>
    <x v="2"/>
    <x v="8"/>
    <n v="313.89"/>
    <n v="1569.4499999999998"/>
    <x v="756"/>
    <x v="754"/>
    <x v="1"/>
    <x v="2"/>
  </r>
  <r>
    <s v="ORD759"/>
    <x v="758"/>
    <s v="Customer_65"/>
    <x v="0"/>
    <x v="0"/>
    <x v="3"/>
    <x v="0"/>
    <x v="3"/>
    <x v="4"/>
    <n v="458.74"/>
    <n v="3211.1800000000003"/>
    <x v="757"/>
    <x v="755"/>
    <x v="1"/>
    <x v="0"/>
  </r>
  <r>
    <s v="ORD760"/>
    <x v="759"/>
    <s v="Customer_46"/>
    <x v="0"/>
    <x v="0"/>
    <x v="18"/>
    <x v="0"/>
    <x v="3"/>
    <x v="9"/>
    <n v="144.99"/>
    <n v="289.98"/>
    <x v="758"/>
    <x v="756"/>
    <x v="0"/>
    <x v="2"/>
  </r>
  <r>
    <s v="ORD761"/>
    <x v="760"/>
    <s v="Customer_132"/>
    <x v="2"/>
    <x v="3"/>
    <x v="35"/>
    <x v="0"/>
    <x v="3"/>
    <x v="5"/>
    <n v="75.040000000000006"/>
    <n v="75.040000000000006"/>
    <x v="759"/>
    <x v="757"/>
    <x v="0"/>
    <x v="2"/>
  </r>
  <r>
    <s v="ORD762"/>
    <x v="761"/>
    <s v="Customer_12"/>
    <x v="0"/>
    <x v="1"/>
    <x v="57"/>
    <x v="0"/>
    <x v="0"/>
    <x v="0"/>
    <n v="222.35"/>
    <n v="889.4"/>
    <x v="760"/>
    <x v="758"/>
    <x v="0"/>
    <x v="1"/>
  </r>
  <r>
    <s v="ORD763"/>
    <x v="762"/>
    <s v="Customer_192"/>
    <x v="4"/>
    <x v="10"/>
    <x v="69"/>
    <x v="0"/>
    <x v="1"/>
    <x v="7"/>
    <n v="442.31"/>
    <n v="2653.86"/>
    <x v="761"/>
    <x v="759"/>
    <x v="1"/>
    <x v="1"/>
  </r>
  <r>
    <s v="ORD764"/>
    <x v="763"/>
    <s v="Customer_147"/>
    <x v="2"/>
    <x v="3"/>
    <x v="35"/>
    <x v="0"/>
    <x v="1"/>
    <x v="8"/>
    <n v="433.85"/>
    <n v="2169.25"/>
    <x v="762"/>
    <x v="760"/>
    <x v="1"/>
    <x v="2"/>
  </r>
  <r>
    <s v="ORD765"/>
    <x v="764"/>
    <s v="Customer_161"/>
    <x v="1"/>
    <x v="7"/>
    <x v="27"/>
    <x v="0"/>
    <x v="2"/>
    <x v="2"/>
    <n v="146.96"/>
    <n v="440.88"/>
    <x v="763"/>
    <x v="761"/>
    <x v="0"/>
    <x v="2"/>
  </r>
  <r>
    <s v="ORD766"/>
    <x v="765"/>
    <s v="Customer_117"/>
    <x v="4"/>
    <x v="5"/>
    <x v="59"/>
    <x v="0"/>
    <x v="1"/>
    <x v="8"/>
    <n v="272.32"/>
    <n v="1361.6"/>
    <x v="764"/>
    <x v="762"/>
    <x v="0"/>
    <x v="2"/>
  </r>
  <r>
    <s v="ORD767"/>
    <x v="766"/>
    <s v="Customer_88"/>
    <x v="2"/>
    <x v="13"/>
    <x v="56"/>
    <x v="0"/>
    <x v="2"/>
    <x v="6"/>
    <n v="477.55"/>
    <n v="4297.95"/>
    <x v="765"/>
    <x v="763"/>
    <x v="1"/>
    <x v="1"/>
  </r>
  <r>
    <s v="ORD768"/>
    <x v="767"/>
    <s v="Customer_153"/>
    <x v="2"/>
    <x v="11"/>
    <x v="29"/>
    <x v="0"/>
    <x v="0"/>
    <x v="9"/>
    <n v="194.18"/>
    <n v="388.36"/>
    <x v="766"/>
    <x v="764"/>
    <x v="0"/>
    <x v="2"/>
  </r>
  <r>
    <s v="ORD769"/>
    <x v="768"/>
    <s v="Customer_103"/>
    <x v="1"/>
    <x v="14"/>
    <x v="58"/>
    <x v="0"/>
    <x v="1"/>
    <x v="9"/>
    <n v="167.17"/>
    <n v="334.34"/>
    <x v="767"/>
    <x v="765"/>
    <x v="0"/>
    <x v="2"/>
  </r>
  <r>
    <s v="ORD770"/>
    <x v="769"/>
    <s v="Customer_22"/>
    <x v="2"/>
    <x v="11"/>
    <x v="29"/>
    <x v="0"/>
    <x v="3"/>
    <x v="0"/>
    <n v="409.52"/>
    <n v="1638.08"/>
    <x v="768"/>
    <x v="766"/>
    <x v="1"/>
    <x v="1"/>
  </r>
  <r>
    <s v="ORD771"/>
    <x v="770"/>
    <s v="Customer_50"/>
    <x v="4"/>
    <x v="5"/>
    <x v="75"/>
    <x v="0"/>
    <x v="0"/>
    <x v="7"/>
    <n v="472.52"/>
    <n v="2835.12"/>
    <x v="769"/>
    <x v="767"/>
    <x v="1"/>
    <x v="0"/>
  </r>
  <r>
    <s v="ORD772"/>
    <x v="771"/>
    <s v="Customer_145"/>
    <x v="0"/>
    <x v="0"/>
    <x v="18"/>
    <x v="0"/>
    <x v="0"/>
    <x v="2"/>
    <n v="354.86"/>
    <n v="1064.58"/>
    <x v="770"/>
    <x v="768"/>
    <x v="0"/>
    <x v="0"/>
  </r>
  <r>
    <s v="ORD773"/>
    <x v="772"/>
    <s v="Customer_85"/>
    <x v="4"/>
    <x v="10"/>
    <x v="15"/>
    <x v="0"/>
    <x v="0"/>
    <x v="8"/>
    <n v="120.78"/>
    <n v="603.9"/>
    <x v="771"/>
    <x v="769"/>
    <x v="0"/>
    <x v="1"/>
  </r>
  <r>
    <s v="ORD774"/>
    <x v="773"/>
    <s v="Customer_156"/>
    <x v="2"/>
    <x v="13"/>
    <x v="34"/>
    <x v="0"/>
    <x v="2"/>
    <x v="4"/>
    <n v="141.94999999999999"/>
    <n v="993.64999999999986"/>
    <x v="772"/>
    <x v="770"/>
    <x v="0"/>
    <x v="2"/>
  </r>
  <r>
    <s v="ORD775"/>
    <x v="774"/>
    <s v="Customer_167"/>
    <x v="0"/>
    <x v="15"/>
    <x v="52"/>
    <x v="0"/>
    <x v="0"/>
    <x v="6"/>
    <n v="79.72"/>
    <n v="717.48"/>
    <x v="773"/>
    <x v="771"/>
    <x v="0"/>
    <x v="2"/>
  </r>
  <r>
    <s v="ORD776"/>
    <x v="775"/>
    <s v="Customer_3"/>
    <x v="0"/>
    <x v="15"/>
    <x v="37"/>
    <x v="0"/>
    <x v="0"/>
    <x v="3"/>
    <n v="286.35000000000002"/>
    <n v="2863.5"/>
    <x v="774"/>
    <x v="772"/>
    <x v="1"/>
    <x v="0"/>
  </r>
  <r>
    <s v="ORD777"/>
    <x v="776"/>
    <s v="Customer_58"/>
    <x v="4"/>
    <x v="5"/>
    <x v="6"/>
    <x v="0"/>
    <x v="2"/>
    <x v="6"/>
    <n v="468.56"/>
    <n v="4217.04"/>
    <x v="775"/>
    <x v="773"/>
    <x v="1"/>
    <x v="1"/>
  </r>
  <r>
    <s v="ORD778"/>
    <x v="777"/>
    <s v="Customer_68"/>
    <x v="4"/>
    <x v="5"/>
    <x v="75"/>
    <x v="0"/>
    <x v="2"/>
    <x v="1"/>
    <n v="272.3"/>
    <n v="2178.4"/>
    <x v="776"/>
    <x v="774"/>
    <x v="1"/>
    <x v="2"/>
  </r>
  <r>
    <s v="ORD779"/>
    <x v="778"/>
    <s v="Customer_54"/>
    <x v="1"/>
    <x v="6"/>
    <x v="7"/>
    <x v="0"/>
    <x v="2"/>
    <x v="1"/>
    <n v="31.25"/>
    <n v="250"/>
    <x v="777"/>
    <x v="775"/>
    <x v="0"/>
    <x v="1"/>
  </r>
  <r>
    <s v="ORD780"/>
    <x v="779"/>
    <s v="Customer_115"/>
    <x v="3"/>
    <x v="4"/>
    <x v="5"/>
    <x v="0"/>
    <x v="0"/>
    <x v="7"/>
    <n v="461.6"/>
    <n v="2769.6000000000004"/>
    <x v="778"/>
    <x v="776"/>
    <x v="1"/>
    <x v="1"/>
  </r>
  <r>
    <s v="ORD781"/>
    <x v="780"/>
    <s v="Customer_85"/>
    <x v="0"/>
    <x v="12"/>
    <x v="65"/>
    <x v="0"/>
    <x v="3"/>
    <x v="2"/>
    <n v="164.12"/>
    <n v="492.36"/>
    <x v="779"/>
    <x v="777"/>
    <x v="0"/>
    <x v="0"/>
  </r>
  <r>
    <s v="ORD782"/>
    <x v="781"/>
    <s v="Customer_88"/>
    <x v="0"/>
    <x v="12"/>
    <x v="24"/>
    <x v="0"/>
    <x v="0"/>
    <x v="3"/>
    <n v="31.93"/>
    <n v="319.3"/>
    <x v="780"/>
    <x v="778"/>
    <x v="0"/>
    <x v="0"/>
  </r>
  <r>
    <s v="ORD783"/>
    <x v="782"/>
    <s v="Customer_62"/>
    <x v="2"/>
    <x v="13"/>
    <x v="23"/>
    <x v="0"/>
    <x v="1"/>
    <x v="5"/>
    <n v="162.41999999999999"/>
    <n v="162.41999999999999"/>
    <x v="781"/>
    <x v="779"/>
    <x v="0"/>
    <x v="0"/>
  </r>
  <r>
    <s v="ORD784"/>
    <x v="783"/>
    <s v="Customer_164"/>
    <x v="3"/>
    <x v="4"/>
    <x v="40"/>
    <x v="0"/>
    <x v="0"/>
    <x v="8"/>
    <n v="85.52"/>
    <n v="427.59999999999997"/>
    <x v="782"/>
    <x v="780"/>
    <x v="0"/>
    <x v="0"/>
  </r>
  <r>
    <s v="ORD785"/>
    <x v="784"/>
    <s v="Customer_65"/>
    <x v="1"/>
    <x v="7"/>
    <x v="45"/>
    <x v="0"/>
    <x v="0"/>
    <x v="0"/>
    <n v="297.86"/>
    <n v="1191.44"/>
    <x v="783"/>
    <x v="781"/>
    <x v="0"/>
    <x v="1"/>
  </r>
  <r>
    <s v="ORD786"/>
    <x v="785"/>
    <s v="Customer_180"/>
    <x v="0"/>
    <x v="0"/>
    <x v="20"/>
    <x v="0"/>
    <x v="3"/>
    <x v="9"/>
    <n v="173.51"/>
    <n v="347.02"/>
    <x v="784"/>
    <x v="782"/>
    <x v="0"/>
    <x v="2"/>
  </r>
  <r>
    <s v="ORD787"/>
    <x v="786"/>
    <s v="Customer_183"/>
    <x v="4"/>
    <x v="5"/>
    <x v="8"/>
    <x v="0"/>
    <x v="2"/>
    <x v="0"/>
    <n v="122.55"/>
    <n v="490.2"/>
    <x v="785"/>
    <x v="783"/>
    <x v="0"/>
    <x v="0"/>
  </r>
  <r>
    <s v="ORD788"/>
    <x v="787"/>
    <s v="Customer_43"/>
    <x v="1"/>
    <x v="2"/>
    <x v="2"/>
    <x v="0"/>
    <x v="2"/>
    <x v="2"/>
    <n v="402.42"/>
    <n v="1207.26"/>
    <x v="786"/>
    <x v="784"/>
    <x v="0"/>
    <x v="1"/>
  </r>
  <r>
    <s v="ORD789"/>
    <x v="788"/>
    <s v="Customer_109"/>
    <x v="0"/>
    <x v="12"/>
    <x v="60"/>
    <x v="0"/>
    <x v="0"/>
    <x v="3"/>
    <n v="28.47"/>
    <n v="284.7"/>
    <x v="787"/>
    <x v="785"/>
    <x v="0"/>
    <x v="2"/>
  </r>
  <r>
    <s v="ORD790"/>
    <x v="789"/>
    <s v="Customer_31"/>
    <x v="4"/>
    <x v="5"/>
    <x v="8"/>
    <x v="0"/>
    <x v="2"/>
    <x v="7"/>
    <n v="92.7"/>
    <n v="556.20000000000005"/>
    <x v="788"/>
    <x v="786"/>
    <x v="0"/>
    <x v="0"/>
  </r>
  <r>
    <s v="ORD791"/>
    <x v="790"/>
    <s v="Customer_146"/>
    <x v="2"/>
    <x v="11"/>
    <x v="29"/>
    <x v="0"/>
    <x v="2"/>
    <x v="7"/>
    <n v="21.88"/>
    <n v="131.28"/>
    <x v="789"/>
    <x v="787"/>
    <x v="0"/>
    <x v="0"/>
  </r>
  <r>
    <s v="ORD792"/>
    <x v="791"/>
    <s v="Customer_193"/>
    <x v="3"/>
    <x v="4"/>
    <x v="10"/>
    <x v="0"/>
    <x v="1"/>
    <x v="7"/>
    <n v="415.61"/>
    <n v="2493.66"/>
    <x v="790"/>
    <x v="788"/>
    <x v="1"/>
    <x v="0"/>
  </r>
  <r>
    <s v="ORD793"/>
    <x v="792"/>
    <s v="Customer_192"/>
    <x v="2"/>
    <x v="3"/>
    <x v="4"/>
    <x v="0"/>
    <x v="2"/>
    <x v="9"/>
    <n v="410.62"/>
    <n v="821.24"/>
    <x v="791"/>
    <x v="789"/>
    <x v="0"/>
    <x v="2"/>
  </r>
  <r>
    <s v="ORD794"/>
    <x v="793"/>
    <s v="Customer_139"/>
    <x v="2"/>
    <x v="11"/>
    <x v="64"/>
    <x v="0"/>
    <x v="0"/>
    <x v="9"/>
    <n v="258.12"/>
    <n v="516.24"/>
    <x v="792"/>
    <x v="790"/>
    <x v="0"/>
    <x v="2"/>
  </r>
  <r>
    <s v="ORD795"/>
    <x v="794"/>
    <s v="Customer_188"/>
    <x v="4"/>
    <x v="5"/>
    <x v="59"/>
    <x v="0"/>
    <x v="1"/>
    <x v="2"/>
    <n v="331.72"/>
    <n v="995.16000000000008"/>
    <x v="793"/>
    <x v="791"/>
    <x v="0"/>
    <x v="0"/>
  </r>
  <r>
    <s v="ORD796"/>
    <x v="795"/>
    <s v="Customer_186"/>
    <x v="0"/>
    <x v="15"/>
    <x v="41"/>
    <x v="0"/>
    <x v="3"/>
    <x v="0"/>
    <n v="265.11"/>
    <n v="1060.44"/>
    <x v="794"/>
    <x v="792"/>
    <x v="0"/>
    <x v="0"/>
  </r>
  <r>
    <s v="ORD797"/>
    <x v="796"/>
    <s v="Customer_39"/>
    <x v="1"/>
    <x v="14"/>
    <x v="26"/>
    <x v="0"/>
    <x v="1"/>
    <x v="6"/>
    <n v="228.7"/>
    <n v="2058.2999999999997"/>
    <x v="795"/>
    <x v="793"/>
    <x v="1"/>
    <x v="2"/>
  </r>
  <r>
    <s v="ORD798"/>
    <x v="797"/>
    <s v="Customer_20"/>
    <x v="0"/>
    <x v="1"/>
    <x v="12"/>
    <x v="0"/>
    <x v="3"/>
    <x v="8"/>
    <n v="428.1"/>
    <n v="2140.5"/>
    <x v="796"/>
    <x v="794"/>
    <x v="1"/>
    <x v="1"/>
  </r>
  <r>
    <s v="ORD799"/>
    <x v="798"/>
    <s v="Customer_113"/>
    <x v="2"/>
    <x v="11"/>
    <x v="64"/>
    <x v="0"/>
    <x v="1"/>
    <x v="3"/>
    <n v="322.83999999999997"/>
    <n v="3228.3999999999996"/>
    <x v="797"/>
    <x v="795"/>
    <x v="1"/>
    <x v="2"/>
  </r>
  <r>
    <s v="ORD800"/>
    <x v="799"/>
    <s v="Customer_14"/>
    <x v="2"/>
    <x v="11"/>
    <x v="29"/>
    <x v="0"/>
    <x v="0"/>
    <x v="9"/>
    <n v="295.08"/>
    <n v="590.16"/>
    <x v="798"/>
    <x v="796"/>
    <x v="0"/>
    <x v="2"/>
  </r>
  <r>
    <s v="ORD801"/>
    <x v="800"/>
    <s v="Customer_106"/>
    <x v="0"/>
    <x v="0"/>
    <x v="3"/>
    <x v="0"/>
    <x v="1"/>
    <x v="2"/>
    <n v="476.64"/>
    <n v="1429.92"/>
    <x v="799"/>
    <x v="797"/>
    <x v="0"/>
    <x v="0"/>
  </r>
  <r>
    <s v="ORD802"/>
    <x v="801"/>
    <s v="Customer_165"/>
    <x v="0"/>
    <x v="9"/>
    <x v="36"/>
    <x v="0"/>
    <x v="0"/>
    <x v="4"/>
    <n v="405.22"/>
    <n v="2836.54"/>
    <x v="800"/>
    <x v="798"/>
    <x v="1"/>
    <x v="2"/>
  </r>
  <r>
    <s v="ORD803"/>
    <x v="802"/>
    <s v="Customer_55"/>
    <x v="2"/>
    <x v="13"/>
    <x v="34"/>
    <x v="0"/>
    <x v="3"/>
    <x v="2"/>
    <n v="232.41"/>
    <n v="697.23"/>
    <x v="801"/>
    <x v="799"/>
    <x v="0"/>
    <x v="0"/>
  </r>
  <r>
    <s v="ORD804"/>
    <x v="803"/>
    <s v="Customer_42"/>
    <x v="0"/>
    <x v="9"/>
    <x v="36"/>
    <x v="0"/>
    <x v="2"/>
    <x v="2"/>
    <n v="53.41"/>
    <n v="160.22999999999999"/>
    <x v="802"/>
    <x v="800"/>
    <x v="0"/>
    <x v="0"/>
  </r>
  <r>
    <s v="ORD805"/>
    <x v="804"/>
    <s v="Customer_118"/>
    <x v="1"/>
    <x v="7"/>
    <x v="31"/>
    <x v="0"/>
    <x v="2"/>
    <x v="1"/>
    <n v="69.84"/>
    <n v="558.72"/>
    <x v="803"/>
    <x v="801"/>
    <x v="0"/>
    <x v="1"/>
  </r>
  <r>
    <s v="ORD806"/>
    <x v="805"/>
    <s v="Customer_53"/>
    <x v="4"/>
    <x v="8"/>
    <x v="72"/>
    <x v="0"/>
    <x v="1"/>
    <x v="6"/>
    <n v="243.94"/>
    <n v="2195.46"/>
    <x v="804"/>
    <x v="802"/>
    <x v="1"/>
    <x v="0"/>
  </r>
  <r>
    <s v="ORD807"/>
    <x v="806"/>
    <s v="Customer_142"/>
    <x v="2"/>
    <x v="3"/>
    <x v="17"/>
    <x v="0"/>
    <x v="0"/>
    <x v="8"/>
    <n v="280.5"/>
    <n v="1402.5"/>
    <x v="805"/>
    <x v="803"/>
    <x v="0"/>
    <x v="0"/>
  </r>
  <r>
    <s v="ORD808"/>
    <x v="807"/>
    <s v="Customer_18"/>
    <x v="2"/>
    <x v="13"/>
    <x v="34"/>
    <x v="0"/>
    <x v="1"/>
    <x v="6"/>
    <n v="320.26"/>
    <n v="2882.34"/>
    <x v="806"/>
    <x v="804"/>
    <x v="1"/>
    <x v="0"/>
  </r>
  <r>
    <s v="ORD809"/>
    <x v="808"/>
    <s v="Customer_165"/>
    <x v="1"/>
    <x v="6"/>
    <x v="22"/>
    <x v="0"/>
    <x v="2"/>
    <x v="9"/>
    <n v="63.74"/>
    <n v="127.48"/>
    <x v="807"/>
    <x v="805"/>
    <x v="0"/>
    <x v="1"/>
  </r>
  <r>
    <s v="ORD810"/>
    <x v="809"/>
    <s v="Customer_8"/>
    <x v="1"/>
    <x v="6"/>
    <x v="22"/>
    <x v="0"/>
    <x v="1"/>
    <x v="9"/>
    <n v="388.93"/>
    <n v="777.86"/>
    <x v="808"/>
    <x v="806"/>
    <x v="0"/>
    <x v="1"/>
  </r>
  <r>
    <s v="ORD811"/>
    <x v="810"/>
    <s v="Customer_10"/>
    <x v="0"/>
    <x v="9"/>
    <x v="14"/>
    <x v="0"/>
    <x v="2"/>
    <x v="6"/>
    <n v="174.24"/>
    <n v="1568.16"/>
    <x v="809"/>
    <x v="807"/>
    <x v="1"/>
    <x v="0"/>
  </r>
  <r>
    <s v="ORD812"/>
    <x v="811"/>
    <s v="Customer_79"/>
    <x v="1"/>
    <x v="14"/>
    <x v="43"/>
    <x v="0"/>
    <x v="3"/>
    <x v="0"/>
    <n v="364.45"/>
    <n v="1457.8"/>
    <x v="810"/>
    <x v="808"/>
    <x v="0"/>
    <x v="0"/>
  </r>
  <r>
    <s v="ORD813"/>
    <x v="812"/>
    <s v="Customer_190"/>
    <x v="0"/>
    <x v="15"/>
    <x v="67"/>
    <x v="0"/>
    <x v="0"/>
    <x v="5"/>
    <n v="448.75"/>
    <n v="448.75"/>
    <x v="811"/>
    <x v="809"/>
    <x v="0"/>
    <x v="2"/>
  </r>
  <r>
    <s v="ORD814"/>
    <x v="813"/>
    <s v="Customer_49"/>
    <x v="2"/>
    <x v="13"/>
    <x v="23"/>
    <x v="0"/>
    <x v="2"/>
    <x v="6"/>
    <n v="31.41"/>
    <n v="282.69"/>
    <x v="812"/>
    <x v="810"/>
    <x v="0"/>
    <x v="1"/>
  </r>
  <r>
    <s v="ORD815"/>
    <x v="814"/>
    <s v="Customer_132"/>
    <x v="0"/>
    <x v="12"/>
    <x v="71"/>
    <x v="0"/>
    <x v="2"/>
    <x v="5"/>
    <n v="26.18"/>
    <n v="26.18"/>
    <x v="813"/>
    <x v="811"/>
    <x v="0"/>
    <x v="0"/>
  </r>
  <r>
    <s v="ORD816"/>
    <x v="815"/>
    <s v="Customer_105"/>
    <x v="2"/>
    <x v="13"/>
    <x v="34"/>
    <x v="0"/>
    <x v="0"/>
    <x v="4"/>
    <n v="50.33"/>
    <n v="352.31"/>
    <x v="814"/>
    <x v="812"/>
    <x v="0"/>
    <x v="0"/>
  </r>
  <r>
    <s v="ORD817"/>
    <x v="816"/>
    <s v="Customer_37"/>
    <x v="0"/>
    <x v="1"/>
    <x v="12"/>
    <x v="0"/>
    <x v="2"/>
    <x v="8"/>
    <n v="393.55"/>
    <n v="1967.75"/>
    <x v="815"/>
    <x v="813"/>
    <x v="1"/>
    <x v="0"/>
  </r>
  <r>
    <s v="ORD818"/>
    <x v="817"/>
    <s v="Customer_87"/>
    <x v="2"/>
    <x v="11"/>
    <x v="54"/>
    <x v="0"/>
    <x v="3"/>
    <x v="1"/>
    <n v="361.52"/>
    <n v="2892.16"/>
    <x v="816"/>
    <x v="814"/>
    <x v="1"/>
    <x v="1"/>
  </r>
  <r>
    <s v="ORD819"/>
    <x v="818"/>
    <s v="Customer_159"/>
    <x v="1"/>
    <x v="14"/>
    <x v="76"/>
    <x v="0"/>
    <x v="2"/>
    <x v="5"/>
    <n v="423.77"/>
    <n v="423.77"/>
    <x v="817"/>
    <x v="815"/>
    <x v="0"/>
    <x v="2"/>
  </r>
  <r>
    <s v="ORD820"/>
    <x v="819"/>
    <s v="Customer_69"/>
    <x v="1"/>
    <x v="14"/>
    <x v="26"/>
    <x v="0"/>
    <x v="3"/>
    <x v="5"/>
    <n v="383.09"/>
    <n v="383.09"/>
    <x v="818"/>
    <x v="816"/>
    <x v="0"/>
    <x v="1"/>
  </r>
  <r>
    <s v="ORD821"/>
    <x v="820"/>
    <s v="Customer_74"/>
    <x v="4"/>
    <x v="8"/>
    <x v="13"/>
    <x v="0"/>
    <x v="2"/>
    <x v="3"/>
    <n v="264.41000000000003"/>
    <n v="2644.1000000000004"/>
    <x v="819"/>
    <x v="817"/>
    <x v="1"/>
    <x v="2"/>
  </r>
  <r>
    <s v="ORD822"/>
    <x v="821"/>
    <s v="Customer_43"/>
    <x v="0"/>
    <x v="15"/>
    <x v="67"/>
    <x v="0"/>
    <x v="3"/>
    <x v="9"/>
    <n v="132.52000000000001"/>
    <n v="265.04000000000002"/>
    <x v="820"/>
    <x v="818"/>
    <x v="0"/>
    <x v="2"/>
  </r>
  <r>
    <s v="ORD823"/>
    <x v="822"/>
    <s v="Customer_77"/>
    <x v="0"/>
    <x v="1"/>
    <x v="12"/>
    <x v="0"/>
    <x v="2"/>
    <x v="4"/>
    <n v="266.18"/>
    <n v="1863.26"/>
    <x v="821"/>
    <x v="819"/>
    <x v="1"/>
    <x v="2"/>
  </r>
  <r>
    <s v="ORD824"/>
    <x v="823"/>
    <s v="Customer_102"/>
    <x v="3"/>
    <x v="4"/>
    <x v="5"/>
    <x v="0"/>
    <x v="1"/>
    <x v="4"/>
    <n v="325.91000000000003"/>
    <n v="2281.3700000000003"/>
    <x v="822"/>
    <x v="820"/>
    <x v="1"/>
    <x v="1"/>
  </r>
  <r>
    <s v="ORD825"/>
    <x v="824"/>
    <s v="Customer_128"/>
    <x v="3"/>
    <x v="4"/>
    <x v="40"/>
    <x v="0"/>
    <x v="1"/>
    <x v="7"/>
    <n v="213.37"/>
    <n v="1280.22"/>
    <x v="823"/>
    <x v="821"/>
    <x v="0"/>
    <x v="0"/>
  </r>
  <r>
    <s v="ORD826"/>
    <x v="825"/>
    <s v="Customer_96"/>
    <x v="4"/>
    <x v="8"/>
    <x v="30"/>
    <x v="0"/>
    <x v="3"/>
    <x v="0"/>
    <n v="256.29000000000002"/>
    <n v="1025.1600000000001"/>
    <x v="824"/>
    <x v="822"/>
    <x v="0"/>
    <x v="0"/>
  </r>
  <r>
    <s v="ORD827"/>
    <x v="826"/>
    <s v="Customer_152"/>
    <x v="0"/>
    <x v="12"/>
    <x v="71"/>
    <x v="0"/>
    <x v="3"/>
    <x v="6"/>
    <n v="190.49"/>
    <n v="1714.41"/>
    <x v="825"/>
    <x v="823"/>
    <x v="0"/>
    <x v="0"/>
  </r>
  <r>
    <s v="ORD828"/>
    <x v="827"/>
    <s v="Customer_103"/>
    <x v="0"/>
    <x v="0"/>
    <x v="0"/>
    <x v="0"/>
    <x v="0"/>
    <x v="1"/>
    <n v="23.78"/>
    <n v="190.24"/>
    <x v="826"/>
    <x v="824"/>
    <x v="0"/>
    <x v="1"/>
  </r>
  <r>
    <s v="ORD829"/>
    <x v="828"/>
    <s v="Customer_188"/>
    <x v="0"/>
    <x v="9"/>
    <x v="14"/>
    <x v="0"/>
    <x v="1"/>
    <x v="1"/>
    <n v="449.09"/>
    <n v="3592.72"/>
    <x v="827"/>
    <x v="825"/>
    <x v="1"/>
    <x v="1"/>
  </r>
  <r>
    <s v="ORD830"/>
    <x v="829"/>
    <s v="Customer_33"/>
    <x v="0"/>
    <x v="12"/>
    <x v="60"/>
    <x v="0"/>
    <x v="2"/>
    <x v="8"/>
    <n v="438.93"/>
    <n v="2194.65"/>
    <x v="828"/>
    <x v="826"/>
    <x v="1"/>
    <x v="1"/>
  </r>
  <r>
    <s v="ORD831"/>
    <x v="830"/>
    <s v="Customer_7"/>
    <x v="3"/>
    <x v="4"/>
    <x v="10"/>
    <x v="0"/>
    <x v="0"/>
    <x v="2"/>
    <n v="53.91"/>
    <n v="161.72999999999999"/>
    <x v="829"/>
    <x v="827"/>
    <x v="0"/>
    <x v="1"/>
  </r>
  <r>
    <s v="ORD832"/>
    <x v="831"/>
    <s v="Customer_139"/>
    <x v="1"/>
    <x v="7"/>
    <x v="27"/>
    <x v="0"/>
    <x v="3"/>
    <x v="3"/>
    <n v="316.95"/>
    <n v="3169.5"/>
    <x v="830"/>
    <x v="828"/>
    <x v="1"/>
    <x v="2"/>
  </r>
  <r>
    <s v="ORD833"/>
    <x v="832"/>
    <s v="Customer_162"/>
    <x v="1"/>
    <x v="7"/>
    <x v="45"/>
    <x v="0"/>
    <x v="0"/>
    <x v="6"/>
    <n v="279.41000000000003"/>
    <n v="2514.69"/>
    <x v="831"/>
    <x v="829"/>
    <x v="1"/>
    <x v="0"/>
  </r>
  <r>
    <s v="ORD834"/>
    <x v="833"/>
    <s v="Customer_130"/>
    <x v="2"/>
    <x v="11"/>
    <x v="19"/>
    <x v="0"/>
    <x v="2"/>
    <x v="7"/>
    <n v="420.95"/>
    <n v="2525.6999999999998"/>
    <x v="832"/>
    <x v="830"/>
    <x v="1"/>
    <x v="2"/>
  </r>
  <r>
    <s v="ORD835"/>
    <x v="834"/>
    <s v="Customer_116"/>
    <x v="3"/>
    <x v="4"/>
    <x v="68"/>
    <x v="0"/>
    <x v="3"/>
    <x v="5"/>
    <n v="411.55"/>
    <n v="411.55"/>
    <x v="833"/>
    <x v="831"/>
    <x v="0"/>
    <x v="0"/>
  </r>
  <r>
    <s v="ORD836"/>
    <x v="835"/>
    <s v="Customer_196"/>
    <x v="2"/>
    <x v="13"/>
    <x v="42"/>
    <x v="0"/>
    <x v="3"/>
    <x v="0"/>
    <n v="140.52000000000001"/>
    <n v="562.08000000000004"/>
    <x v="834"/>
    <x v="832"/>
    <x v="0"/>
    <x v="2"/>
  </r>
  <r>
    <s v="ORD837"/>
    <x v="836"/>
    <s v="Customer_193"/>
    <x v="1"/>
    <x v="14"/>
    <x v="26"/>
    <x v="0"/>
    <x v="1"/>
    <x v="4"/>
    <n v="207.17"/>
    <n v="1450.1899999999998"/>
    <x v="835"/>
    <x v="833"/>
    <x v="0"/>
    <x v="2"/>
  </r>
  <r>
    <s v="ORD838"/>
    <x v="837"/>
    <s v="Customer_191"/>
    <x v="4"/>
    <x v="8"/>
    <x v="61"/>
    <x v="0"/>
    <x v="2"/>
    <x v="8"/>
    <n v="391.44"/>
    <n v="1957.2"/>
    <x v="836"/>
    <x v="834"/>
    <x v="1"/>
    <x v="1"/>
  </r>
  <r>
    <s v="ORD839"/>
    <x v="838"/>
    <s v="Customer_138"/>
    <x v="4"/>
    <x v="10"/>
    <x v="53"/>
    <x v="0"/>
    <x v="2"/>
    <x v="3"/>
    <n v="47.47"/>
    <n v="474.7"/>
    <x v="837"/>
    <x v="835"/>
    <x v="0"/>
    <x v="2"/>
  </r>
  <r>
    <s v="ORD840"/>
    <x v="839"/>
    <s v="Customer_181"/>
    <x v="1"/>
    <x v="7"/>
    <x v="45"/>
    <x v="0"/>
    <x v="2"/>
    <x v="2"/>
    <n v="488.05"/>
    <n v="1464.15"/>
    <x v="838"/>
    <x v="836"/>
    <x v="1"/>
    <x v="1"/>
  </r>
  <r>
    <s v="ORD841"/>
    <x v="840"/>
    <s v="Customer_193"/>
    <x v="4"/>
    <x v="10"/>
    <x v="70"/>
    <x v="0"/>
    <x v="0"/>
    <x v="3"/>
    <n v="235.45"/>
    <n v="2354.5"/>
    <x v="839"/>
    <x v="837"/>
    <x v="1"/>
    <x v="0"/>
  </r>
  <r>
    <s v="ORD842"/>
    <x v="841"/>
    <s v="Customer_188"/>
    <x v="1"/>
    <x v="2"/>
    <x v="33"/>
    <x v="0"/>
    <x v="3"/>
    <x v="8"/>
    <n v="225.44"/>
    <n v="1127.2"/>
    <x v="840"/>
    <x v="838"/>
    <x v="0"/>
    <x v="1"/>
  </r>
  <r>
    <s v="ORD843"/>
    <x v="842"/>
    <s v="Customer_4"/>
    <x v="2"/>
    <x v="11"/>
    <x v="54"/>
    <x v="0"/>
    <x v="1"/>
    <x v="5"/>
    <n v="208.86"/>
    <n v="208.86"/>
    <x v="841"/>
    <x v="839"/>
    <x v="0"/>
    <x v="0"/>
  </r>
  <r>
    <s v="ORD844"/>
    <x v="843"/>
    <s v="Customer_103"/>
    <x v="2"/>
    <x v="13"/>
    <x v="62"/>
    <x v="0"/>
    <x v="1"/>
    <x v="5"/>
    <n v="283.52999999999997"/>
    <n v="283.52999999999997"/>
    <x v="842"/>
    <x v="840"/>
    <x v="0"/>
    <x v="0"/>
  </r>
  <r>
    <s v="ORD845"/>
    <x v="844"/>
    <s v="Customer_1"/>
    <x v="4"/>
    <x v="10"/>
    <x v="69"/>
    <x v="0"/>
    <x v="2"/>
    <x v="3"/>
    <n v="473.16"/>
    <n v="4731.6000000000004"/>
    <x v="843"/>
    <x v="841"/>
    <x v="1"/>
    <x v="2"/>
  </r>
  <r>
    <s v="ORD846"/>
    <x v="845"/>
    <s v="Customer_132"/>
    <x v="2"/>
    <x v="11"/>
    <x v="47"/>
    <x v="0"/>
    <x v="1"/>
    <x v="1"/>
    <n v="140.05000000000001"/>
    <n v="1120.4000000000001"/>
    <x v="844"/>
    <x v="842"/>
    <x v="0"/>
    <x v="1"/>
  </r>
  <r>
    <s v="ORD847"/>
    <x v="846"/>
    <s v="Customer_59"/>
    <x v="1"/>
    <x v="7"/>
    <x v="45"/>
    <x v="0"/>
    <x v="3"/>
    <x v="3"/>
    <n v="437.46"/>
    <n v="4374.5999999999995"/>
    <x v="845"/>
    <x v="843"/>
    <x v="1"/>
    <x v="2"/>
  </r>
  <r>
    <s v="ORD848"/>
    <x v="847"/>
    <s v="Customer_63"/>
    <x v="4"/>
    <x v="10"/>
    <x v="53"/>
    <x v="0"/>
    <x v="2"/>
    <x v="5"/>
    <n v="76.59"/>
    <n v="76.59"/>
    <x v="846"/>
    <x v="844"/>
    <x v="0"/>
    <x v="1"/>
  </r>
  <r>
    <s v="ORD849"/>
    <x v="848"/>
    <s v="Customer_113"/>
    <x v="2"/>
    <x v="11"/>
    <x v="54"/>
    <x v="0"/>
    <x v="2"/>
    <x v="4"/>
    <n v="308.73"/>
    <n v="2161.11"/>
    <x v="847"/>
    <x v="845"/>
    <x v="1"/>
    <x v="0"/>
  </r>
  <r>
    <s v="ORD850"/>
    <x v="849"/>
    <s v="Customer_23"/>
    <x v="0"/>
    <x v="9"/>
    <x v="14"/>
    <x v="0"/>
    <x v="1"/>
    <x v="8"/>
    <n v="76.48"/>
    <n v="382.40000000000003"/>
    <x v="848"/>
    <x v="846"/>
    <x v="0"/>
    <x v="0"/>
  </r>
  <r>
    <s v="ORD851"/>
    <x v="850"/>
    <s v="Customer_131"/>
    <x v="1"/>
    <x v="2"/>
    <x v="25"/>
    <x v="0"/>
    <x v="1"/>
    <x v="9"/>
    <n v="466.08"/>
    <n v="932.16"/>
    <x v="849"/>
    <x v="847"/>
    <x v="0"/>
    <x v="2"/>
  </r>
  <r>
    <s v="ORD852"/>
    <x v="851"/>
    <s v="Customer_86"/>
    <x v="4"/>
    <x v="5"/>
    <x v="79"/>
    <x v="0"/>
    <x v="3"/>
    <x v="6"/>
    <n v="189.37"/>
    <n v="1704.33"/>
    <x v="850"/>
    <x v="848"/>
    <x v="1"/>
    <x v="0"/>
  </r>
  <r>
    <s v="ORD853"/>
    <x v="852"/>
    <s v="Customer_69"/>
    <x v="0"/>
    <x v="15"/>
    <x v="49"/>
    <x v="0"/>
    <x v="0"/>
    <x v="1"/>
    <n v="261.04000000000002"/>
    <n v="2088.3200000000002"/>
    <x v="851"/>
    <x v="849"/>
    <x v="1"/>
    <x v="1"/>
  </r>
  <r>
    <s v="ORD854"/>
    <x v="853"/>
    <s v="Customer_163"/>
    <x v="1"/>
    <x v="14"/>
    <x v="43"/>
    <x v="0"/>
    <x v="1"/>
    <x v="8"/>
    <n v="190.72"/>
    <n v="953.6"/>
    <x v="852"/>
    <x v="850"/>
    <x v="0"/>
    <x v="1"/>
  </r>
  <r>
    <s v="ORD855"/>
    <x v="854"/>
    <s v="Customer_133"/>
    <x v="0"/>
    <x v="0"/>
    <x v="18"/>
    <x v="0"/>
    <x v="2"/>
    <x v="2"/>
    <n v="207.64"/>
    <n v="622.91999999999996"/>
    <x v="853"/>
    <x v="851"/>
    <x v="0"/>
    <x v="2"/>
  </r>
  <r>
    <s v="ORD856"/>
    <x v="855"/>
    <s v="Customer_54"/>
    <x v="0"/>
    <x v="1"/>
    <x v="57"/>
    <x v="0"/>
    <x v="2"/>
    <x v="4"/>
    <n v="460.8"/>
    <n v="3225.6"/>
    <x v="854"/>
    <x v="852"/>
    <x v="1"/>
    <x v="1"/>
  </r>
  <r>
    <s v="ORD857"/>
    <x v="856"/>
    <s v="Customer_25"/>
    <x v="1"/>
    <x v="6"/>
    <x v="9"/>
    <x v="0"/>
    <x v="3"/>
    <x v="0"/>
    <n v="271.89999999999998"/>
    <n v="1087.5999999999999"/>
    <x v="855"/>
    <x v="853"/>
    <x v="0"/>
    <x v="1"/>
  </r>
  <r>
    <s v="ORD858"/>
    <x v="857"/>
    <s v="Customer_200"/>
    <x v="0"/>
    <x v="12"/>
    <x v="60"/>
    <x v="0"/>
    <x v="2"/>
    <x v="0"/>
    <n v="201.28"/>
    <n v="805.12"/>
    <x v="856"/>
    <x v="854"/>
    <x v="0"/>
    <x v="1"/>
  </r>
  <r>
    <s v="ORD859"/>
    <x v="858"/>
    <s v="Customer_91"/>
    <x v="1"/>
    <x v="6"/>
    <x v="22"/>
    <x v="0"/>
    <x v="0"/>
    <x v="7"/>
    <n v="84.21"/>
    <n v="505.26"/>
    <x v="857"/>
    <x v="855"/>
    <x v="0"/>
    <x v="1"/>
  </r>
  <r>
    <s v="ORD860"/>
    <x v="859"/>
    <s v="Customer_109"/>
    <x v="4"/>
    <x v="10"/>
    <x v="70"/>
    <x v="0"/>
    <x v="0"/>
    <x v="5"/>
    <n v="426.11"/>
    <n v="426.11"/>
    <x v="858"/>
    <x v="856"/>
    <x v="0"/>
    <x v="2"/>
  </r>
  <r>
    <s v="ORD861"/>
    <x v="860"/>
    <s v="Customer_2"/>
    <x v="1"/>
    <x v="7"/>
    <x v="38"/>
    <x v="0"/>
    <x v="3"/>
    <x v="0"/>
    <n v="412.26"/>
    <n v="1649.04"/>
    <x v="859"/>
    <x v="857"/>
    <x v="1"/>
    <x v="1"/>
  </r>
  <r>
    <s v="ORD862"/>
    <x v="861"/>
    <s v="Customer_56"/>
    <x v="1"/>
    <x v="7"/>
    <x v="45"/>
    <x v="0"/>
    <x v="2"/>
    <x v="5"/>
    <n v="166.91"/>
    <n v="166.91"/>
    <x v="860"/>
    <x v="858"/>
    <x v="0"/>
    <x v="1"/>
  </r>
  <r>
    <s v="ORD863"/>
    <x v="862"/>
    <s v="Customer_153"/>
    <x v="0"/>
    <x v="9"/>
    <x v="14"/>
    <x v="0"/>
    <x v="2"/>
    <x v="2"/>
    <n v="391.22"/>
    <n v="1173.6600000000001"/>
    <x v="861"/>
    <x v="859"/>
    <x v="0"/>
    <x v="1"/>
  </r>
  <r>
    <s v="ORD864"/>
    <x v="863"/>
    <s v="Customer_18"/>
    <x v="2"/>
    <x v="3"/>
    <x v="4"/>
    <x v="0"/>
    <x v="0"/>
    <x v="7"/>
    <n v="190.43"/>
    <n v="1142.58"/>
    <x v="862"/>
    <x v="860"/>
    <x v="0"/>
    <x v="1"/>
  </r>
  <r>
    <s v="ORD865"/>
    <x v="864"/>
    <s v="Customer_126"/>
    <x v="0"/>
    <x v="12"/>
    <x v="71"/>
    <x v="0"/>
    <x v="1"/>
    <x v="1"/>
    <n v="431.54"/>
    <n v="3452.32"/>
    <x v="863"/>
    <x v="861"/>
    <x v="1"/>
    <x v="1"/>
  </r>
  <r>
    <s v="ORD866"/>
    <x v="865"/>
    <s v="Customer_115"/>
    <x v="4"/>
    <x v="8"/>
    <x v="72"/>
    <x v="0"/>
    <x v="2"/>
    <x v="1"/>
    <n v="470.08"/>
    <n v="3760.64"/>
    <x v="864"/>
    <x v="862"/>
    <x v="1"/>
    <x v="2"/>
  </r>
  <r>
    <s v="ORD867"/>
    <x v="866"/>
    <s v="Customer_48"/>
    <x v="2"/>
    <x v="11"/>
    <x v="19"/>
    <x v="0"/>
    <x v="1"/>
    <x v="2"/>
    <n v="52.15"/>
    <n v="156.44999999999999"/>
    <x v="865"/>
    <x v="863"/>
    <x v="0"/>
    <x v="1"/>
  </r>
  <r>
    <s v="ORD868"/>
    <x v="867"/>
    <s v="Customer_184"/>
    <x v="1"/>
    <x v="2"/>
    <x v="25"/>
    <x v="0"/>
    <x v="3"/>
    <x v="8"/>
    <n v="44.71"/>
    <n v="223.55"/>
    <x v="866"/>
    <x v="864"/>
    <x v="0"/>
    <x v="2"/>
  </r>
  <r>
    <s v="ORD869"/>
    <x v="868"/>
    <s v="Customer_40"/>
    <x v="1"/>
    <x v="6"/>
    <x v="7"/>
    <x v="0"/>
    <x v="1"/>
    <x v="1"/>
    <n v="182.56"/>
    <n v="1460.48"/>
    <x v="867"/>
    <x v="865"/>
    <x v="1"/>
    <x v="1"/>
  </r>
  <r>
    <s v="ORD870"/>
    <x v="869"/>
    <s v="Customer_102"/>
    <x v="1"/>
    <x v="2"/>
    <x v="77"/>
    <x v="0"/>
    <x v="3"/>
    <x v="2"/>
    <n v="316.39999999999998"/>
    <n v="949.19999999999993"/>
    <x v="868"/>
    <x v="866"/>
    <x v="0"/>
    <x v="0"/>
  </r>
  <r>
    <s v="ORD871"/>
    <x v="870"/>
    <s v="Customer_72"/>
    <x v="4"/>
    <x v="5"/>
    <x v="75"/>
    <x v="0"/>
    <x v="0"/>
    <x v="2"/>
    <n v="356.42"/>
    <n v="1069.26"/>
    <x v="869"/>
    <x v="867"/>
    <x v="0"/>
    <x v="2"/>
  </r>
  <r>
    <s v="ORD872"/>
    <x v="871"/>
    <s v="Customer_187"/>
    <x v="2"/>
    <x v="11"/>
    <x v="54"/>
    <x v="0"/>
    <x v="3"/>
    <x v="5"/>
    <n v="496.59"/>
    <n v="496.59"/>
    <x v="870"/>
    <x v="868"/>
    <x v="0"/>
    <x v="1"/>
  </r>
  <r>
    <s v="ORD873"/>
    <x v="872"/>
    <s v="Customer_159"/>
    <x v="4"/>
    <x v="10"/>
    <x v="53"/>
    <x v="0"/>
    <x v="1"/>
    <x v="9"/>
    <n v="324.23"/>
    <n v="648.46"/>
    <x v="871"/>
    <x v="869"/>
    <x v="0"/>
    <x v="0"/>
  </r>
  <r>
    <s v="ORD874"/>
    <x v="873"/>
    <s v="Customer_99"/>
    <x v="2"/>
    <x v="3"/>
    <x v="48"/>
    <x v="0"/>
    <x v="3"/>
    <x v="7"/>
    <n v="352.75"/>
    <n v="2116.5"/>
    <x v="872"/>
    <x v="870"/>
    <x v="1"/>
    <x v="1"/>
  </r>
  <r>
    <s v="ORD875"/>
    <x v="874"/>
    <s v="Customer_30"/>
    <x v="0"/>
    <x v="12"/>
    <x v="60"/>
    <x v="0"/>
    <x v="1"/>
    <x v="3"/>
    <n v="376.8"/>
    <n v="3768"/>
    <x v="873"/>
    <x v="871"/>
    <x v="1"/>
    <x v="0"/>
  </r>
  <r>
    <s v="ORD876"/>
    <x v="875"/>
    <s v="Customer_197"/>
    <x v="0"/>
    <x v="15"/>
    <x v="49"/>
    <x v="0"/>
    <x v="3"/>
    <x v="6"/>
    <n v="217.26"/>
    <n v="1955.34"/>
    <x v="874"/>
    <x v="872"/>
    <x v="1"/>
    <x v="0"/>
  </r>
  <r>
    <s v="ORD877"/>
    <x v="876"/>
    <s v="Customer_147"/>
    <x v="3"/>
    <x v="4"/>
    <x v="55"/>
    <x v="0"/>
    <x v="0"/>
    <x v="2"/>
    <n v="313.55"/>
    <n v="940.65000000000009"/>
    <x v="875"/>
    <x v="873"/>
    <x v="0"/>
    <x v="0"/>
  </r>
  <r>
    <s v="ORD878"/>
    <x v="877"/>
    <s v="Customer_133"/>
    <x v="2"/>
    <x v="3"/>
    <x v="35"/>
    <x v="0"/>
    <x v="0"/>
    <x v="2"/>
    <n v="101.91"/>
    <n v="305.73"/>
    <x v="876"/>
    <x v="874"/>
    <x v="0"/>
    <x v="0"/>
  </r>
  <r>
    <s v="ORD879"/>
    <x v="878"/>
    <s v="Customer_37"/>
    <x v="0"/>
    <x v="9"/>
    <x v="16"/>
    <x v="0"/>
    <x v="2"/>
    <x v="5"/>
    <n v="376"/>
    <n v="376"/>
    <x v="877"/>
    <x v="875"/>
    <x v="0"/>
    <x v="0"/>
  </r>
  <r>
    <s v="ORD880"/>
    <x v="879"/>
    <s v="Customer_183"/>
    <x v="1"/>
    <x v="7"/>
    <x v="31"/>
    <x v="0"/>
    <x v="0"/>
    <x v="0"/>
    <n v="155.15"/>
    <n v="620.6"/>
    <x v="878"/>
    <x v="876"/>
    <x v="0"/>
    <x v="1"/>
  </r>
  <r>
    <s v="ORD881"/>
    <x v="880"/>
    <s v="Customer_122"/>
    <x v="2"/>
    <x v="11"/>
    <x v="29"/>
    <x v="0"/>
    <x v="0"/>
    <x v="9"/>
    <n v="210.3"/>
    <n v="420.6"/>
    <x v="879"/>
    <x v="877"/>
    <x v="0"/>
    <x v="2"/>
  </r>
  <r>
    <s v="ORD882"/>
    <x v="881"/>
    <s v="Customer_122"/>
    <x v="4"/>
    <x v="8"/>
    <x v="72"/>
    <x v="0"/>
    <x v="1"/>
    <x v="4"/>
    <n v="445.14"/>
    <n v="3115.98"/>
    <x v="880"/>
    <x v="878"/>
    <x v="1"/>
    <x v="0"/>
  </r>
  <r>
    <s v="ORD883"/>
    <x v="882"/>
    <s v="Customer_36"/>
    <x v="3"/>
    <x v="4"/>
    <x v="40"/>
    <x v="0"/>
    <x v="2"/>
    <x v="0"/>
    <n v="337.11"/>
    <n v="1348.44"/>
    <x v="881"/>
    <x v="879"/>
    <x v="0"/>
    <x v="0"/>
  </r>
  <r>
    <s v="ORD884"/>
    <x v="883"/>
    <s v="Customer_186"/>
    <x v="2"/>
    <x v="13"/>
    <x v="42"/>
    <x v="0"/>
    <x v="2"/>
    <x v="3"/>
    <n v="394.46"/>
    <n v="3944.6"/>
    <x v="882"/>
    <x v="880"/>
    <x v="1"/>
    <x v="1"/>
  </r>
  <r>
    <s v="ORD885"/>
    <x v="884"/>
    <s v="Customer_106"/>
    <x v="4"/>
    <x v="10"/>
    <x v="66"/>
    <x v="0"/>
    <x v="2"/>
    <x v="0"/>
    <n v="441.12"/>
    <n v="1764.48"/>
    <x v="883"/>
    <x v="881"/>
    <x v="1"/>
    <x v="0"/>
  </r>
  <r>
    <s v="ORD886"/>
    <x v="885"/>
    <s v="Customer_167"/>
    <x v="4"/>
    <x v="8"/>
    <x v="72"/>
    <x v="0"/>
    <x v="0"/>
    <x v="5"/>
    <n v="369.14"/>
    <n v="369.14"/>
    <x v="884"/>
    <x v="882"/>
    <x v="0"/>
    <x v="0"/>
  </r>
  <r>
    <s v="ORD887"/>
    <x v="886"/>
    <s v="Customer_199"/>
    <x v="0"/>
    <x v="9"/>
    <x v="36"/>
    <x v="0"/>
    <x v="0"/>
    <x v="4"/>
    <n v="295.85000000000002"/>
    <n v="2070.9500000000003"/>
    <x v="885"/>
    <x v="883"/>
    <x v="1"/>
    <x v="0"/>
  </r>
  <r>
    <s v="ORD888"/>
    <x v="887"/>
    <s v="Customer_25"/>
    <x v="2"/>
    <x v="11"/>
    <x v="19"/>
    <x v="0"/>
    <x v="1"/>
    <x v="3"/>
    <n v="119.99"/>
    <n v="1199.8999999999999"/>
    <x v="886"/>
    <x v="884"/>
    <x v="0"/>
    <x v="1"/>
  </r>
  <r>
    <s v="ORD889"/>
    <x v="888"/>
    <s v="Customer_102"/>
    <x v="0"/>
    <x v="12"/>
    <x v="24"/>
    <x v="0"/>
    <x v="2"/>
    <x v="1"/>
    <n v="191.84"/>
    <n v="1534.72"/>
    <x v="887"/>
    <x v="885"/>
    <x v="1"/>
    <x v="2"/>
  </r>
  <r>
    <s v="ORD890"/>
    <x v="889"/>
    <s v="Customer_43"/>
    <x v="0"/>
    <x v="1"/>
    <x v="1"/>
    <x v="0"/>
    <x v="3"/>
    <x v="1"/>
    <n v="401.71"/>
    <n v="3213.68"/>
    <x v="888"/>
    <x v="886"/>
    <x v="1"/>
    <x v="0"/>
  </r>
  <r>
    <s v="ORD891"/>
    <x v="890"/>
    <s v="Customer_8"/>
    <x v="0"/>
    <x v="1"/>
    <x v="1"/>
    <x v="0"/>
    <x v="2"/>
    <x v="7"/>
    <n v="393.77"/>
    <n v="2362.62"/>
    <x v="889"/>
    <x v="887"/>
    <x v="1"/>
    <x v="2"/>
  </r>
  <r>
    <s v="ORD892"/>
    <x v="891"/>
    <s v="Customer_120"/>
    <x v="0"/>
    <x v="12"/>
    <x v="21"/>
    <x v="0"/>
    <x v="3"/>
    <x v="2"/>
    <n v="315.41000000000003"/>
    <n v="946.23"/>
    <x v="890"/>
    <x v="888"/>
    <x v="0"/>
    <x v="2"/>
  </r>
  <r>
    <s v="ORD893"/>
    <x v="892"/>
    <s v="Customer_91"/>
    <x v="2"/>
    <x v="3"/>
    <x v="4"/>
    <x v="0"/>
    <x v="0"/>
    <x v="9"/>
    <n v="77.41"/>
    <n v="154.82"/>
    <x v="891"/>
    <x v="889"/>
    <x v="0"/>
    <x v="2"/>
  </r>
  <r>
    <s v="ORD894"/>
    <x v="893"/>
    <s v="Customer_98"/>
    <x v="4"/>
    <x v="8"/>
    <x v="30"/>
    <x v="0"/>
    <x v="2"/>
    <x v="9"/>
    <n v="439.29"/>
    <n v="878.58"/>
    <x v="892"/>
    <x v="890"/>
    <x v="0"/>
    <x v="0"/>
  </r>
  <r>
    <s v="ORD895"/>
    <x v="894"/>
    <s v="Customer_16"/>
    <x v="4"/>
    <x v="10"/>
    <x v="15"/>
    <x v="0"/>
    <x v="2"/>
    <x v="6"/>
    <n v="109.55"/>
    <n v="985.94999999999993"/>
    <x v="893"/>
    <x v="891"/>
    <x v="0"/>
    <x v="0"/>
  </r>
  <r>
    <s v="ORD896"/>
    <x v="895"/>
    <s v="Customer_101"/>
    <x v="0"/>
    <x v="9"/>
    <x v="74"/>
    <x v="0"/>
    <x v="0"/>
    <x v="1"/>
    <n v="106.89"/>
    <n v="855.12"/>
    <x v="894"/>
    <x v="892"/>
    <x v="0"/>
    <x v="2"/>
  </r>
  <r>
    <s v="ORD897"/>
    <x v="896"/>
    <s v="Customer_104"/>
    <x v="2"/>
    <x v="13"/>
    <x v="42"/>
    <x v="0"/>
    <x v="2"/>
    <x v="0"/>
    <n v="323.89999999999998"/>
    <n v="1295.5999999999999"/>
    <x v="895"/>
    <x v="893"/>
    <x v="0"/>
    <x v="1"/>
  </r>
  <r>
    <s v="ORD898"/>
    <x v="897"/>
    <s v="Customer_66"/>
    <x v="2"/>
    <x v="3"/>
    <x v="48"/>
    <x v="0"/>
    <x v="0"/>
    <x v="4"/>
    <n v="303.77999999999997"/>
    <n v="2126.46"/>
    <x v="896"/>
    <x v="894"/>
    <x v="1"/>
    <x v="2"/>
  </r>
  <r>
    <s v="ORD899"/>
    <x v="898"/>
    <s v="Customer_100"/>
    <x v="0"/>
    <x v="1"/>
    <x v="1"/>
    <x v="0"/>
    <x v="1"/>
    <x v="1"/>
    <n v="24.01"/>
    <n v="192.08"/>
    <x v="897"/>
    <x v="895"/>
    <x v="0"/>
    <x v="0"/>
  </r>
  <r>
    <s v="ORD900"/>
    <x v="899"/>
    <s v="Customer_170"/>
    <x v="3"/>
    <x v="4"/>
    <x v="40"/>
    <x v="0"/>
    <x v="0"/>
    <x v="1"/>
    <n v="351.18"/>
    <n v="2809.44"/>
    <x v="898"/>
    <x v="896"/>
    <x v="1"/>
    <x v="1"/>
  </r>
  <r>
    <s v="ORD901"/>
    <x v="900"/>
    <s v="Customer_23"/>
    <x v="4"/>
    <x v="5"/>
    <x v="59"/>
    <x v="0"/>
    <x v="0"/>
    <x v="6"/>
    <n v="441.04"/>
    <n v="3969.36"/>
    <x v="899"/>
    <x v="897"/>
    <x v="1"/>
    <x v="2"/>
  </r>
  <r>
    <s v="ORD902"/>
    <x v="901"/>
    <s v="Customer_51"/>
    <x v="0"/>
    <x v="12"/>
    <x v="71"/>
    <x v="0"/>
    <x v="1"/>
    <x v="0"/>
    <n v="259.77"/>
    <n v="1039.08"/>
    <x v="900"/>
    <x v="898"/>
    <x v="0"/>
    <x v="1"/>
  </r>
  <r>
    <s v="ORD903"/>
    <x v="902"/>
    <s v="Customer_69"/>
    <x v="0"/>
    <x v="15"/>
    <x v="52"/>
    <x v="0"/>
    <x v="2"/>
    <x v="8"/>
    <n v="384.1"/>
    <n v="1920.5"/>
    <x v="901"/>
    <x v="899"/>
    <x v="1"/>
    <x v="1"/>
  </r>
  <r>
    <s v="ORD904"/>
    <x v="903"/>
    <s v="Customer_120"/>
    <x v="1"/>
    <x v="14"/>
    <x v="26"/>
    <x v="0"/>
    <x v="0"/>
    <x v="5"/>
    <n v="447.32"/>
    <n v="447.32"/>
    <x v="902"/>
    <x v="900"/>
    <x v="0"/>
    <x v="1"/>
  </r>
  <r>
    <s v="ORD905"/>
    <x v="904"/>
    <s v="Customer_108"/>
    <x v="1"/>
    <x v="7"/>
    <x v="45"/>
    <x v="0"/>
    <x v="2"/>
    <x v="0"/>
    <n v="339.63"/>
    <n v="1358.52"/>
    <x v="903"/>
    <x v="901"/>
    <x v="0"/>
    <x v="1"/>
  </r>
  <r>
    <s v="ORD906"/>
    <x v="905"/>
    <s v="Customer_77"/>
    <x v="2"/>
    <x v="13"/>
    <x v="23"/>
    <x v="0"/>
    <x v="3"/>
    <x v="1"/>
    <n v="203.43"/>
    <n v="1627.44"/>
    <x v="904"/>
    <x v="902"/>
    <x v="1"/>
    <x v="2"/>
  </r>
  <r>
    <s v="ORD907"/>
    <x v="906"/>
    <s v="Customer_57"/>
    <x v="1"/>
    <x v="7"/>
    <x v="31"/>
    <x v="0"/>
    <x v="3"/>
    <x v="7"/>
    <n v="461.1"/>
    <n v="2766.6000000000004"/>
    <x v="905"/>
    <x v="903"/>
    <x v="1"/>
    <x v="2"/>
  </r>
  <r>
    <s v="ORD908"/>
    <x v="907"/>
    <s v="Customer_118"/>
    <x v="0"/>
    <x v="15"/>
    <x v="37"/>
    <x v="0"/>
    <x v="0"/>
    <x v="2"/>
    <n v="468.53"/>
    <n v="1405.59"/>
    <x v="906"/>
    <x v="904"/>
    <x v="0"/>
    <x v="2"/>
  </r>
  <r>
    <s v="ORD909"/>
    <x v="908"/>
    <s v="Customer_73"/>
    <x v="1"/>
    <x v="6"/>
    <x v="50"/>
    <x v="0"/>
    <x v="1"/>
    <x v="0"/>
    <n v="325.08999999999997"/>
    <n v="1300.3599999999999"/>
    <x v="907"/>
    <x v="905"/>
    <x v="0"/>
    <x v="2"/>
  </r>
  <r>
    <s v="ORD910"/>
    <x v="909"/>
    <s v="Customer_160"/>
    <x v="4"/>
    <x v="10"/>
    <x v="66"/>
    <x v="0"/>
    <x v="0"/>
    <x v="4"/>
    <n v="436.37"/>
    <n v="3054.59"/>
    <x v="908"/>
    <x v="906"/>
    <x v="1"/>
    <x v="2"/>
  </r>
  <r>
    <s v="ORD911"/>
    <x v="910"/>
    <s v="Customer_122"/>
    <x v="0"/>
    <x v="9"/>
    <x v="14"/>
    <x v="0"/>
    <x v="1"/>
    <x v="6"/>
    <n v="252.12"/>
    <n v="2269.08"/>
    <x v="909"/>
    <x v="907"/>
    <x v="1"/>
    <x v="0"/>
  </r>
  <r>
    <s v="ORD912"/>
    <x v="911"/>
    <s v="Customer_159"/>
    <x v="1"/>
    <x v="14"/>
    <x v="63"/>
    <x v="0"/>
    <x v="0"/>
    <x v="2"/>
    <n v="439.5"/>
    <n v="1318.5"/>
    <x v="910"/>
    <x v="908"/>
    <x v="0"/>
    <x v="1"/>
  </r>
  <r>
    <s v="ORD913"/>
    <x v="912"/>
    <s v="Customer_24"/>
    <x v="2"/>
    <x v="11"/>
    <x v="19"/>
    <x v="0"/>
    <x v="0"/>
    <x v="0"/>
    <n v="179.85"/>
    <n v="719.4"/>
    <x v="911"/>
    <x v="909"/>
    <x v="0"/>
    <x v="1"/>
  </r>
  <r>
    <s v="ORD914"/>
    <x v="913"/>
    <s v="Customer_126"/>
    <x v="0"/>
    <x v="0"/>
    <x v="18"/>
    <x v="0"/>
    <x v="1"/>
    <x v="2"/>
    <n v="53.93"/>
    <n v="161.79"/>
    <x v="912"/>
    <x v="910"/>
    <x v="0"/>
    <x v="1"/>
  </r>
  <r>
    <s v="ORD915"/>
    <x v="914"/>
    <s v="Customer_134"/>
    <x v="1"/>
    <x v="2"/>
    <x v="77"/>
    <x v="0"/>
    <x v="3"/>
    <x v="1"/>
    <n v="475.65"/>
    <n v="3805.2"/>
    <x v="913"/>
    <x v="911"/>
    <x v="1"/>
    <x v="0"/>
  </r>
  <r>
    <s v="ORD916"/>
    <x v="915"/>
    <s v="Customer_19"/>
    <x v="0"/>
    <x v="0"/>
    <x v="18"/>
    <x v="0"/>
    <x v="2"/>
    <x v="9"/>
    <n v="496.91"/>
    <n v="993.82"/>
    <x v="914"/>
    <x v="912"/>
    <x v="0"/>
    <x v="1"/>
  </r>
  <r>
    <s v="ORD917"/>
    <x v="916"/>
    <s v="Customer_138"/>
    <x v="1"/>
    <x v="7"/>
    <x v="38"/>
    <x v="0"/>
    <x v="2"/>
    <x v="5"/>
    <n v="362.88"/>
    <n v="362.88"/>
    <x v="915"/>
    <x v="913"/>
    <x v="0"/>
    <x v="0"/>
  </r>
  <r>
    <s v="ORD918"/>
    <x v="917"/>
    <s v="Customer_35"/>
    <x v="4"/>
    <x v="10"/>
    <x v="70"/>
    <x v="0"/>
    <x v="2"/>
    <x v="1"/>
    <n v="101.79"/>
    <n v="814.32"/>
    <x v="916"/>
    <x v="914"/>
    <x v="0"/>
    <x v="2"/>
  </r>
  <r>
    <s v="ORD919"/>
    <x v="918"/>
    <s v="Customer_88"/>
    <x v="2"/>
    <x v="13"/>
    <x v="34"/>
    <x v="0"/>
    <x v="0"/>
    <x v="7"/>
    <n v="245.21"/>
    <n v="1471.26"/>
    <x v="917"/>
    <x v="915"/>
    <x v="0"/>
    <x v="2"/>
  </r>
  <r>
    <s v="ORD920"/>
    <x v="919"/>
    <s v="Customer_56"/>
    <x v="1"/>
    <x v="14"/>
    <x v="43"/>
    <x v="0"/>
    <x v="1"/>
    <x v="5"/>
    <n v="262.07"/>
    <n v="262.07"/>
    <x v="918"/>
    <x v="916"/>
    <x v="0"/>
    <x v="2"/>
  </r>
  <r>
    <s v="ORD921"/>
    <x v="920"/>
    <s v="Customer_84"/>
    <x v="3"/>
    <x v="4"/>
    <x v="10"/>
    <x v="0"/>
    <x v="1"/>
    <x v="2"/>
    <n v="131.11000000000001"/>
    <n v="393.33000000000004"/>
    <x v="919"/>
    <x v="917"/>
    <x v="0"/>
    <x v="0"/>
  </r>
  <r>
    <s v="ORD922"/>
    <x v="921"/>
    <s v="Customer_196"/>
    <x v="4"/>
    <x v="8"/>
    <x v="28"/>
    <x v="0"/>
    <x v="1"/>
    <x v="0"/>
    <n v="45.58"/>
    <n v="182.32"/>
    <x v="920"/>
    <x v="918"/>
    <x v="0"/>
    <x v="0"/>
  </r>
  <r>
    <s v="ORD923"/>
    <x v="922"/>
    <s v="Customer_121"/>
    <x v="0"/>
    <x v="9"/>
    <x v="36"/>
    <x v="0"/>
    <x v="1"/>
    <x v="4"/>
    <n v="259.58999999999997"/>
    <n v="1817.1299999999999"/>
    <x v="921"/>
    <x v="919"/>
    <x v="1"/>
    <x v="0"/>
  </r>
  <r>
    <s v="ORD924"/>
    <x v="923"/>
    <s v="Customer_15"/>
    <x v="4"/>
    <x v="8"/>
    <x v="13"/>
    <x v="0"/>
    <x v="2"/>
    <x v="3"/>
    <n v="327.67"/>
    <n v="3276.7000000000003"/>
    <x v="922"/>
    <x v="920"/>
    <x v="1"/>
    <x v="0"/>
  </r>
  <r>
    <s v="ORD925"/>
    <x v="924"/>
    <s v="Customer_153"/>
    <x v="1"/>
    <x v="7"/>
    <x v="31"/>
    <x v="0"/>
    <x v="1"/>
    <x v="2"/>
    <n v="270.38"/>
    <n v="811.14"/>
    <x v="923"/>
    <x v="921"/>
    <x v="0"/>
    <x v="0"/>
  </r>
  <r>
    <s v="ORD926"/>
    <x v="925"/>
    <s v="Customer_30"/>
    <x v="0"/>
    <x v="12"/>
    <x v="60"/>
    <x v="0"/>
    <x v="3"/>
    <x v="7"/>
    <n v="231.6"/>
    <n v="1389.6"/>
    <x v="924"/>
    <x v="922"/>
    <x v="0"/>
    <x v="0"/>
  </r>
  <r>
    <s v="ORD927"/>
    <x v="926"/>
    <s v="Customer_198"/>
    <x v="4"/>
    <x v="5"/>
    <x v="6"/>
    <x v="0"/>
    <x v="0"/>
    <x v="6"/>
    <n v="161.44999999999999"/>
    <n v="1453.05"/>
    <x v="925"/>
    <x v="923"/>
    <x v="0"/>
    <x v="1"/>
  </r>
  <r>
    <s v="ORD928"/>
    <x v="927"/>
    <s v="Customer_110"/>
    <x v="1"/>
    <x v="14"/>
    <x v="43"/>
    <x v="0"/>
    <x v="3"/>
    <x v="2"/>
    <n v="277.44"/>
    <n v="832.31999999999994"/>
    <x v="926"/>
    <x v="924"/>
    <x v="0"/>
    <x v="0"/>
  </r>
  <r>
    <s v="ORD929"/>
    <x v="928"/>
    <s v="Customer_155"/>
    <x v="1"/>
    <x v="7"/>
    <x v="38"/>
    <x v="0"/>
    <x v="1"/>
    <x v="3"/>
    <n v="434.37"/>
    <n v="4343.7"/>
    <x v="927"/>
    <x v="925"/>
    <x v="1"/>
    <x v="0"/>
  </r>
  <r>
    <s v="ORD930"/>
    <x v="929"/>
    <s v="Customer_17"/>
    <x v="1"/>
    <x v="6"/>
    <x v="9"/>
    <x v="0"/>
    <x v="0"/>
    <x v="4"/>
    <n v="219.8"/>
    <n v="1538.6000000000001"/>
    <x v="928"/>
    <x v="926"/>
    <x v="1"/>
    <x v="0"/>
  </r>
  <r>
    <s v="ORD931"/>
    <x v="930"/>
    <s v="Customer_44"/>
    <x v="2"/>
    <x v="11"/>
    <x v="64"/>
    <x v="0"/>
    <x v="3"/>
    <x v="3"/>
    <n v="157.37"/>
    <n v="1573.7"/>
    <x v="929"/>
    <x v="927"/>
    <x v="1"/>
    <x v="2"/>
  </r>
  <r>
    <s v="ORD932"/>
    <x v="931"/>
    <s v="Customer_171"/>
    <x v="2"/>
    <x v="13"/>
    <x v="34"/>
    <x v="0"/>
    <x v="2"/>
    <x v="2"/>
    <n v="309"/>
    <n v="927"/>
    <x v="930"/>
    <x v="928"/>
    <x v="0"/>
    <x v="0"/>
  </r>
  <r>
    <s v="ORD933"/>
    <x v="932"/>
    <s v="Customer_107"/>
    <x v="0"/>
    <x v="15"/>
    <x v="49"/>
    <x v="0"/>
    <x v="0"/>
    <x v="4"/>
    <n v="203.35"/>
    <n v="1423.45"/>
    <x v="931"/>
    <x v="929"/>
    <x v="0"/>
    <x v="1"/>
  </r>
  <r>
    <s v="ORD934"/>
    <x v="933"/>
    <s v="Customer_145"/>
    <x v="0"/>
    <x v="15"/>
    <x v="67"/>
    <x v="0"/>
    <x v="2"/>
    <x v="8"/>
    <n v="363.13"/>
    <n v="1815.65"/>
    <x v="932"/>
    <x v="930"/>
    <x v="1"/>
    <x v="2"/>
  </r>
  <r>
    <s v="ORD935"/>
    <x v="934"/>
    <s v="Customer_192"/>
    <x v="4"/>
    <x v="5"/>
    <x v="6"/>
    <x v="0"/>
    <x v="0"/>
    <x v="3"/>
    <n v="249.14"/>
    <n v="2491.3999999999996"/>
    <x v="933"/>
    <x v="931"/>
    <x v="1"/>
    <x v="0"/>
  </r>
  <r>
    <s v="ORD936"/>
    <x v="935"/>
    <s v="Customer_190"/>
    <x v="3"/>
    <x v="4"/>
    <x v="10"/>
    <x v="0"/>
    <x v="0"/>
    <x v="7"/>
    <n v="25.83"/>
    <n v="154.97999999999999"/>
    <x v="934"/>
    <x v="932"/>
    <x v="0"/>
    <x v="0"/>
  </r>
  <r>
    <s v="ORD937"/>
    <x v="936"/>
    <s v="Customer_63"/>
    <x v="0"/>
    <x v="1"/>
    <x v="44"/>
    <x v="0"/>
    <x v="3"/>
    <x v="0"/>
    <n v="315.52"/>
    <n v="1262.08"/>
    <x v="935"/>
    <x v="933"/>
    <x v="0"/>
    <x v="0"/>
  </r>
  <r>
    <s v="ORD938"/>
    <x v="937"/>
    <s v="Customer_25"/>
    <x v="1"/>
    <x v="14"/>
    <x v="26"/>
    <x v="0"/>
    <x v="2"/>
    <x v="7"/>
    <n v="237.98"/>
    <n v="1427.8799999999999"/>
    <x v="936"/>
    <x v="934"/>
    <x v="0"/>
    <x v="0"/>
  </r>
  <r>
    <s v="ORD939"/>
    <x v="938"/>
    <s v="Customer_30"/>
    <x v="2"/>
    <x v="13"/>
    <x v="56"/>
    <x v="0"/>
    <x v="3"/>
    <x v="7"/>
    <n v="66.37"/>
    <n v="398.22"/>
    <x v="937"/>
    <x v="935"/>
    <x v="0"/>
    <x v="1"/>
  </r>
  <r>
    <s v="ORD940"/>
    <x v="939"/>
    <s v="Customer_165"/>
    <x v="2"/>
    <x v="13"/>
    <x v="62"/>
    <x v="0"/>
    <x v="3"/>
    <x v="1"/>
    <n v="293.49"/>
    <n v="2347.92"/>
    <x v="938"/>
    <x v="936"/>
    <x v="1"/>
    <x v="1"/>
  </r>
  <r>
    <s v="ORD941"/>
    <x v="940"/>
    <s v="Customer_170"/>
    <x v="1"/>
    <x v="6"/>
    <x v="50"/>
    <x v="0"/>
    <x v="3"/>
    <x v="8"/>
    <n v="322.64"/>
    <n v="1613.1999999999998"/>
    <x v="939"/>
    <x v="937"/>
    <x v="1"/>
    <x v="0"/>
  </r>
  <r>
    <s v="ORD942"/>
    <x v="941"/>
    <s v="Customer_117"/>
    <x v="0"/>
    <x v="12"/>
    <x v="24"/>
    <x v="0"/>
    <x v="0"/>
    <x v="7"/>
    <n v="480.74"/>
    <n v="2884.44"/>
    <x v="940"/>
    <x v="938"/>
    <x v="1"/>
    <x v="2"/>
  </r>
  <r>
    <s v="ORD943"/>
    <x v="942"/>
    <s v="Customer_156"/>
    <x v="1"/>
    <x v="14"/>
    <x v="43"/>
    <x v="0"/>
    <x v="1"/>
    <x v="0"/>
    <n v="113.27"/>
    <n v="453.08"/>
    <x v="941"/>
    <x v="939"/>
    <x v="0"/>
    <x v="0"/>
  </r>
  <r>
    <s v="ORD944"/>
    <x v="943"/>
    <s v="Customer_11"/>
    <x v="1"/>
    <x v="7"/>
    <x v="11"/>
    <x v="0"/>
    <x v="1"/>
    <x v="5"/>
    <n v="192.32"/>
    <n v="192.32"/>
    <x v="942"/>
    <x v="940"/>
    <x v="0"/>
    <x v="1"/>
  </r>
  <r>
    <s v="ORD945"/>
    <x v="944"/>
    <s v="Customer_31"/>
    <x v="0"/>
    <x v="1"/>
    <x v="32"/>
    <x v="0"/>
    <x v="2"/>
    <x v="9"/>
    <n v="379.81"/>
    <n v="759.62"/>
    <x v="943"/>
    <x v="941"/>
    <x v="0"/>
    <x v="2"/>
  </r>
  <r>
    <s v="ORD946"/>
    <x v="945"/>
    <s v="Customer_33"/>
    <x v="0"/>
    <x v="0"/>
    <x v="78"/>
    <x v="0"/>
    <x v="1"/>
    <x v="1"/>
    <n v="269.93"/>
    <n v="2159.44"/>
    <x v="944"/>
    <x v="942"/>
    <x v="1"/>
    <x v="0"/>
  </r>
  <r>
    <s v="ORD947"/>
    <x v="946"/>
    <s v="Customer_191"/>
    <x v="0"/>
    <x v="0"/>
    <x v="20"/>
    <x v="0"/>
    <x v="2"/>
    <x v="8"/>
    <n v="269.55"/>
    <n v="1347.75"/>
    <x v="945"/>
    <x v="943"/>
    <x v="0"/>
    <x v="1"/>
  </r>
  <r>
    <s v="ORD948"/>
    <x v="947"/>
    <s v="Customer_162"/>
    <x v="2"/>
    <x v="11"/>
    <x v="47"/>
    <x v="0"/>
    <x v="0"/>
    <x v="7"/>
    <n v="79.56"/>
    <n v="477.36"/>
    <x v="946"/>
    <x v="944"/>
    <x v="0"/>
    <x v="1"/>
  </r>
  <r>
    <s v="ORD949"/>
    <x v="948"/>
    <s v="Customer_192"/>
    <x v="2"/>
    <x v="11"/>
    <x v="29"/>
    <x v="0"/>
    <x v="1"/>
    <x v="9"/>
    <n v="305.88"/>
    <n v="611.76"/>
    <x v="947"/>
    <x v="945"/>
    <x v="0"/>
    <x v="0"/>
  </r>
  <r>
    <s v="ORD950"/>
    <x v="949"/>
    <s v="Customer_20"/>
    <x v="1"/>
    <x v="6"/>
    <x v="9"/>
    <x v="0"/>
    <x v="3"/>
    <x v="0"/>
    <n v="428.75"/>
    <n v="1715"/>
    <x v="948"/>
    <x v="946"/>
    <x v="1"/>
    <x v="1"/>
  </r>
  <r>
    <s v="ORD951"/>
    <x v="950"/>
    <s v="Customer_36"/>
    <x v="1"/>
    <x v="14"/>
    <x v="43"/>
    <x v="0"/>
    <x v="0"/>
    <x v="9"/>
    <n v="209.35"/>
    <n v="418.7"/>
    <x v="949"/>
    <x v="947"/>
    <x v="0"/>
    <x v="1"/>
  </r>
  <r>
    <s v="ORD952"/>
    <x v="951"/>
    <s v="Customer_195"/>
    <x v="2"/>
    <x v="13"/>
    <x v="42"/>
    <x v="0"/>
    <x v="0"/>
    <x v="1"/>
    <n v="222.06"/>
    <n v="1776.48"/>
    <x v="950"/>
    <x v="948"/>
    <x v="1"/>
    <x v="2"/>
  </r>
  <r>
    <s v="ORD953"/>
    <x v="952"/>
    <s v="Customer_162"/>
    <x v="2"/>
    <x v="13"/>
    <x v="23"/>
    <x v="0"/>
    <x v="0"/>
    <x v="7"/>
    <n v="207.72"/>
    <n v="1246.32"/>
    <x v="951"/>
    <x v="949"/>
    <x v="0"/>
    <x v="1"/>
  </r>
  <r>
    <s v="ORD954"/>
    <x v="953"/>
    <s v="Customer_65"/>
    <x v="0"/>
    <x v="9"/>
    <x v="46"/>
    <x v="0"/>
    <x v="2"/>
    <x v="5"/>
    <n v="448.64"/>
    <n v="448.64"/>
    <x v="952"/>
    <x v="950"/>
    <x v="0"/>
    <x v="1"/>
  </r>
  <r>
    <s v="ORD955"/>
    <x v="954"/>
    <s v="Customer_147"/>
    <x v="1"/>
    <x v="7"/>
    <x v="38"/>
    <x v="0"/>
    <x v="0"/>
    <x v="6"/>
    <n v="143.24"/>
    <n v="1289.1600000000001"/>
    <x v="953"/>
    <x v="951"/>
    <x v="0"/>
    <x v="0"/>
  </r>
  <r>
    <s v="ORD956"/>
    <x v="955"/>
    <s v="Customer_140"/>
    <x v="4"/>
    <x v="10"/>
    <x v="66"/>
    <x v="0"/>
    <x v="0"/>
    <x v="6"/>
    <n v="162.15"/>
    <n v="1459.3500000000001"/>
    <x v="954"/>
    <x v="952"/>
    <x v="0"/>
    <x v="0"/>
  </r>
  <r>
    <s v="ORD957"/>
    <x v="956"/>
    <s v="Customer_163"/>
    <x v="0"/>
    <x v="9"/>
    <x v="36"/>
    <x v="0"/>
    <x v="2"/>
    <x v="6"/>
    <n v="230.85"/>
    <n v="2077.65"/>
    <x v="955"/>
    <x v="953"/>
    <x v="1"/>
    <x v="0"/>
  </r>
  <r>
    <s v="ORD958"/>
    <x v="957"/>
    <s v="Customer_64"/>
    <x v="1"/>
    <x v="14"/>
    <x v="43"/>
    <x v="0"/>
    <x v="2"/>
    <x v="9"/>
    <n v="104.11"/>
    <n v="208.22"/>
    <x v="956"/>
    <x v="954"/>
    <x v="0"/>
    <x v="1"/>
  </r>
  <r>
    <s v="ORD959"/>
    <x v="958"/>
    <s v="Customer_104"/>
    <x v="0"/>
    <x v="12"/>
    <x v="21"/>
    <x v="0"/>
    <x v="2"/>
    <x v="0"/>
    <n v="102.68"/>
    <n v="410.72"/>
    <x v="957"/>
    <x v="955"/>
    <x v="0"/>
    <x v="1"/>
  </r>
  <r>
    <s v="ORD960"/>
    <x v="959"/>
    <s v="Customer_144"/>
    <x v="0"/>
    <x v="9"/>
    <x v="74"/>
    <x v="0"/>
    <x v="0"/>
    <x v="9"/>
    <n v="348.86"/>
    <n v="697.72"/>
    <x v="958"/>
    <x v="956"/>
    <x v="0"/>
    <x v="0"/>
  </r>
  <r>
    <s v="ORD961"/>
    <x v="960"/>
    <s v="Customer_149"/>
    <x v="0"/>
    <x v="15"/>
    <x v="49"/>
    <x v="0"/>
    <x v="3"/>
    <x v="1"/>
    <n v="459.9"/>
    <n v="3679.2"/>
    <x v="959"/>
    <x v="957"/>
    <x v="1"/>
    <x v="1"/>
  </r>
  <r>
    <s v="ORD962"/>
    <x v="961"/>
    <s v="Customer_68"/>
    <x v="0"/>
    <x v="12"/>
    <x v="60"/>
    <x v="0"/>
    <x v="0"/>
    <x v="4"/>
    <n v="143.02000000000001"/>
    <n v="1001.1400000000001"/>
    <x v="960"/>
    <x v="958"/>
    <x v="0"/>
    <x v="2"/>
  </r>
  <r>
    <s v="ORD963"/>
    <x v="962"/>
    <s v="Customer_102"/>
    <x v="4"/>
    <x v="5"/>
    <x v="75"/>
    <x v="0"/>
    <x v="1"/>
    <x v="4"/>
    <n v="387.58"/>
    <n v="2713.06"/>
    <x v="961"/>
    <x v="959"/>
    <x v="1"/>
    <x v="1"/>
  </r>
  <r>
    <s v="ORD964"/>
    <x v="963"/>
    <s v="Customer_125"/>
    <x v="0"/>
    <x v="9"/>
    <x v="16"/>
    <x v="0"/>
    <x v="0"/>
    <x v="9"/>
    <n v="239.76"/>
    <n v="479.52"/>
    <x v="962"/>
    <x v="960"/>
    <x v="0"/>
    <x v="1"/>
  </r>
  <r>
    <s v="ORD965"/>
    <x v="964"/>
    <s v="Customer_98"/>
    <x v="3"/>
    <x v="4"/>
    <x v="40"/>
    <x v="0"/>
    <x v="0"/>
    <x v="9"/>
    <n v="130.04"/>
    <n v="260.08"/>
    <x v="963"/>
    <x v="961"/>
    <x v="0"/>
    <x v="1"/>
  </r>
  <r>
    <s v="ORD966"/>
    <x v="965"/>
    <s v="Customer_94"/>
    <x v="0"/>
    <x v="12"/>
    <x v="24"/>
    <x v="0"/>
    <x v="3"/>
    <x v="6"/>
    <n v="253.57"/>
    <n v="2282.13"/>
    <x v="964"/>
    <x v="962"/>
    <x v="1"/>
    <x v="1"/>
  </r>
  <r>
    <s v="ORD967"/>
    <x v="966"/>
    <s v="Customer_198"/>
    <x v="0"/>
    <x v="15"/>
    <x v="67"/>
    <x v="0"/>
    <x v="2"/>
    <x v="4"/>
    <n v="156.33000000000001"/>
    <n v="1094.3100000000002"/>
    <x v="965"/>
    <x v="963"/>
    <x v="0"/>
    <x v="0"/>
  </r>
  <r>
    <s v="ORD968"/>
    <x v="967"/>
    <s v="Customer_165"/>
    <x v="1"/>
    <x v="2"/>
    <x v="25"/>
    <x v="0"/>
    <x v="2"/>
    <x v="5"/>
    <n v="164.18"/>
    <n v="164.18"/>
    <x v="966"/>
    <x v="964"/>
    <x v="0"/>
    <x v="2"/>
  </r>
  <r>
    <s v="ORD969"/>
    <x v="968"/>
    <s v="Customer_6"/>
    <x v="0"/>
    <x v="15"/>
    <x v="52"/>
    <x v="0"/>
    <x v="0"/>
    <x v="3"/>
    <n v="240.68"/>
    <n v="2406.8000000000002"/>
    <x v="967"/>
    <x v="965"/>
    <x v="1"/>
    <x v="2"/>
  </r>
  <r>
    <s v="ORD970"/>
    <x v="969"/>
    <s v="Customer_62"/>
    <x v="1"/>
    <x v="14"/>
    <x v="63"/>
    <x v="0"/>
    <x v="2"/>
    <x v="5"/>
    <n v="155.91"/>
    <n v="155.91"/>
    <x v="968"/>
    <x v="966"/>
    <x v="0"/>
    <x v="1"/>
  </r>
  <r>
    <s v="ORD971"/>
    <x v="970"/>
    <s v="Customer_32"/>
    <x v="1"/>
    <x v="2"/>
    <x v="25"/>
    <x v="0"/>
    <x v="2"/>
    <x v="9"/>
    <n v="474.47"/>
    <n v="948.94"/>
    <x v="969"/>
    <x v="967"/>
    <x v="0"/>
    <x v="1"/>
  </r>
  <r>
    <s v="ORD972"/>
    <x v="971"/>
    <s v="Customer_112"/>
    <x v="0"/>
    <x v="0"/>
    <x v="78"/>
    <x v="0"/>
    <x v="1"/>
    <x v="6"/>
    <n v="298.13"/>
    <n v="2683.17"/>
    <x v="970"/>
    <x v="968"/>
    <x v="1"/>
    <x v="2"/>
  </r>
  <r>
    <s v="ORD973"/>
    <x v="972"/>
    <s v="Customer_93"/>
    <x v="4"/>
    <x v="5"/>
    <x v="59"/>
    <x v="0"/>
    <x v="2"/>
    <x v="9"/>
    <n v="315.14"/>
    <n v="630.28"/>
    <x v="971"/>
    <x v="969"/>
    <x v="0"/>
    <x v="1"/>
  </r>
  <r>
    <s v="ORD974"/>
    <x v="973"/>
    <s v="Customer_26"/>
    <x v="0"/>
    <x v="9"/>
    <x v="46"/>
    <x v="0"/>
    <x v="0"/>
    <x v="6"/>
    <n v="459.39"/>
    <n v="4134.51"/>
    <x v="972"/>
    <x v="970"/>
    <x v="1"/>
    <x v="0"/>
  </r>
  <r>
    <s v="ORD975"/>
    <x v="974"/>
    <s v="Customer_45"/>
    <x v="4"/>
    <x v="10"/>
    <x v="69"/>
    <x v="0"/>
    <x v="1"/>
    <x v="6"/>
    <n v="361.27"/>
    <n v="3251.43"/>
    <x v="973"/>
    <x v="971"/>
    <x v="1"/>
    <x v="0"/>
  </r>
  <r>
    <s v="ORD976"/>
    <x v="975"/>
    <s v="Customer_62"/>
    <x v="1"/>
    <x v="6"/>
    <x v="73"/>
    <x v="0"/>
    <x v="3"/>
    <x v="6"/>
    <n v="222.06"/>
    <n v="1998.54"/>
    <x v="974"/>
    <x v="972"/>
    <x v="1"/>
    <x v="1"/>
  </r>
  <r>
    <s v="ORD977"/>
    <x v="976"/>
    <s v="Customer_14"/>
    <x v="0"/>
    <x v="15"/>
    <x v="41"/>
    <x v="0"/>
    <x v="1"/>
    <x v="7"/>
    <n v="232.28"/>
    <n v="1393.68"/>
    <x v="975"/>
    <x v="973"/>
    <x v="0"/>
    <x v="1"/>
  </r>
  <r>
    <s v="ORD978"/>
    <x v="977"/>
    <s v="Customer_68"/>
    <x v="4"/>
    <x v="10"/>
    <x v="53"/>
    <x v="0"/>
    <x v="3"/>
    <x v="5"/>
    <n v="251.3"/>
    <n v="251.3"/>
    <x v="976"/>
    <x v="974"/>
    <x v="0"/>
    <x v="2"/>
  </r>
  <r>
    <s v="ORD979"/>
    <x v="978"/>
    <s v="Customer_68"/>
    <x v="1"/>
    <x v="6"/>
    <x v="9"/>
    <x v="0"/>
    <x v="1"/>
    <x v="2"/>
    <n v="72.64"/>
    <n v="217.92000000000002"/>
    <x v="977"/>
    <x v="975"/>
    <x v="0"/>
    <x v="0"/>
  </r>
  <r>
    <s v="ORD980"/>
    <x v="979"/>
    <s v="Customer_46"/>
    <x v="0"/>
    <x v="9"/>
    <x v="46"/>
    <x v="0"/>
    <x v="0"/>
    <x v="8"/>
    <n v="415.95"/>
    <n v="2079.75"/>
    <x v="978"/>
    <x v="976"/>
    <x v="1"/>
    <x v="1"/>
  </r>
  <r>
    <s v="ORD981"/>
    <x v="980"/>
    <s v="Customer_178"/>
    <x v="1"/>
    <x v="14"/>
    <x v="26"/>
    <x v="0"/>
    <x v="1"/>
    <x v="9"/>
    <n v="489.58"/>
    <n v="979.16"/>
    <x v="979"/>
    <x v="977"/>
    <x v="0"/>
    <x v="1"/>
  </r>
  <r>
    <s v="ORD982"/>
    <x v="981"/>
    <s v="Customer_114"/>
    <x v="4"/>
    <x v="8"/>
    <x v="13"/>
    <x v="0"/>
    <x v="0"/>
    <x v="6"/>
    <n v="250.62"/>
    <n v="2255.58"/>
    <x v="980"/>
    <x v="978"/>
    <x v="1"/>
    <x v="0"/>
  </r>
  <r>
    <s v="ORD983"/>
    <x v="982"/>
    <s v="Customer_59"/>
    <x v="0"/>
    <x v="9"/>
    <x v="74"/>
    <x v="0"/>
    <x v="3"/>
    <x v="3"/>
    <n v="69.7"/>
    <n v="697"/>
    <x v="981"/>
    <x v="979"/>
    <x v="0"/>
    <x v="0"/>
  </r>
  <r>
    <s v="ORD984"/>
    <x v="983"/>
    <s v="Customer_69"/>
    <x v="2"/>
    <x v="11"/>
    <x v="47"/>
    <x v="0"/>
    <x v="2"/>
    <x v="4"/>
    <n v="55.97"/>
    <n v="391.78999999999996"/>
    <x v="982"/>
    <x v="980"/>
    <x v="0"/>
    <x v="1"/>
  </r>
  <r>
    <s v="ORD985"/>
    <x v="984"/>
    <s v="Customer_74"/>
    <x v="0"/>
    <x v="15"/>
    <x v="52"/>
    <x v="0"/>
    <x v="2"/>
    <x v="6"/>
    <n v="62"/>
    <n v="558"/>
    <x v="983"/>
    <x v="981"/>
    <x v="0"/>
    <x v="2"/>
  </r>
  <r>
    <s v="ORD986"/>
    <x v="985"/>
    <s v="Customer_84"/>
    <x v="1"/>
    <x v="2"/>
    <x v="33"/>
    <x v="0"/>
    <x v="1"/>
    <x v="3"/>
    <n v="116.6"/>
    <n v="1166"/>
    <x v="984"/>
    <x v="982"/>
    <x v="0"/>
    <x v="0"/>
  </r>
  <r>
    <s v="ORD987"/>
    <x v="986"/>
    <s v="Customer_192"/>
    <x v="0"/>
    <x v="12"/>
    <x v="65"/>
    <x v="0"/>
    <x v="0"/>
    <x v="9"/>
    <n v="83.78"/>
    <n v="167.56"/>
    <x v="985"/>
    <x v="983"/>
    <x v="0"/>
    <x v="1"/>
  </r>
  <r>
    <s v="ORD988"/>
    <x v="987"/>
    <s v="Customer_60"/>
    <x v="0"/>
    <x v="12"/>
    <x v="71"/>
    <x v="0"/>
    <x v="1"/>
    <x v="5"/>
    <n v="472.31"/>
    <n v="472.31"/>
    <x v="986"/>
    <x v="984"/>
    <x v="0"/>
    <x v="2"/>
  </r>
  <r>
    <s v="ORD989"/>
    <x v="988"/>
    <s v="Customer_100"/>
    <x v="1"/>
    <x v="6"/>
    <x v="73"/>
    <x v="0"/>
    <x v="2"/>
    <x v="1"/>
    <n v="473.04"/>
    <n v="3784.32"/>
    <x v="987"/>
    <x v="985"/>
    <x v="1"/>
    <x v="1"/>
  </r>
  <r>
    <s v="ORD990"/>
    <x v="989"/>
    <s v="Customer_178"/>
    <x v="0"/>
    <x v="9"/>
    <x v="46"/>
    <x v="0"/>
    <x v="1"/>
    <x v="9"/>
    <n v="445.97"/>
    <n v="891.94"/>
    <x v="988"/>
    <x v="986"/>
    <x v="0"/>
    <x v="1"/>
  </r>
  <r>
    <s v="ORD991"/>
    <x v="990"/>
    <s v="Customer_132"/>
    <x v="2"/>
    <x v="11"/>
    <x v="19"/>
    <x v="0"/>
    <x v="2"/>
    <x v="8"/>
    <n v="210.37"/>
    <n v="1051.8499999999999"/>
    <x v="989"/>
    <x v="987"/>
    <x v="0"/>
    <x v="2"/>
  </r>
  <r>
    <s v="ORD992"/>
    <x v="991"/>
    <s v="Customer_193"/>
    <x v="0"/>
    <x v="1"/>
    <x v="44"/>
    <x v="0"/>
    <x v="3"/>
    <x v="9"/>
    <n v="436.59"/>
    <n v="873.18"/>
    <x v="990"/>
    <x v="988"/>
    <x v="0"/>
    <x v="0"/>
  </r>
  <r>
    <s v="ORD993"/>
    <x v="992"/>
    <s v="Customer_10"/>
    <x v="0"/>
    <x v="0"/>
    <x v="3"/>
    <x v="0"/>
    <x v="0"/>
    <x v="5"/>
    <n v="30.52"/>
    <n v="30.52"/>
    <x v="991"/>
    <x v="989"/>
    <x v="0"/>
    <x v="1"/>
  </r>
  <r>
    <s v="ORD994"/>
    <x v="993"/>
    <s v="Customer_191"/>
    <x v="1"/>
    <x v="14"/>
    <x v="76"/>
    <x v="0"/>
    <x v="2"/>
    <x v="1"/>
    <n v="160.82"/>
    <n v="1286.56"/>
    <x v="992"/>
    <x v="990"/>
    <x v="0"/>
    <x v="0"/>
  </r>
  <r>
    <s v="ORD995"/>
    <x v="994"/>
    <s v="Customer_32"/>
    <x v="2"/>
    <x v="11"/>
    <x v="29"/>
    <x v="0"/>
    <x v="2"/>
    <x v="1"/>
    <n v="243.87"/>
    <n v="1950.96"/>
    <x v="993"/>
    <x v="991"/>
    <x v="1"/>
    <x v="1"/>
  </r>
  <r>
    <s v="ORD996"/>
    <x v="995"/>
    <s v="Customer_149"/>
    <x v="0"/>
    <x v="12"/>
    <x v="24"/>
    <x v="0"/>
    <x v="0"/>
    <x v="2"/>
    <n v="265.43"/>
    <n v="796.29"/>
    <x v="994"/>
    <x v="992"/>
    <x v="0"/>
    <x v="2"/>
  </r>
  <r>
    <s v="ORD997"/>
    <x v="996"/>
    <s v="Customer_173"/>
    <x v="0"/>
    <x v="12"/>
    <x v="24"/>
    <x v="0"/>
    <x v="2"/>
    <x v="0"/>
    <n v="107.53"/>
    <n v="430.12"/>
    <x v="995"/>
    <x v="993"/>
    <x v="0"/>
    <x v="1"/>
  </r>
  <r>
    <s v="ORD998"/>
    <x v="997"/>
    <s v="Customer_31"/>
    <x v="2"/>
    <x v="11"/>
    <x v="54"/>
    <x v="0"/>
    <x v="3"/>
    <x v="3"/>
    <n v="226.42"/>
    <n v="2264.1999999999998"/>
    <x v="996"/>
    <x v="994"/>
    <x v="1"/>
    <x v="1"/>
  </r>
  <r>
    <s v="ORD999"/>
    <x v="998"/>
    <s v="Customer_3"/>
    <x v="0"/>
    <x v="1"/>
    <x v="57"/>
    <x v="0"/>
    <x v="2"/>
    <x v="5"/>
    <n v="197.03"/>
    <n v="197.03"/>
    <x v="997"/>
    <x v="995"/>
    <x v="0"/>
    <x v="2"/>
  </r>
  <r>
    <s v="ORD1000"/>
    <x v="999"/>
    <s v="Customer_45"/>
    <x v="5"/>
    <x v="1"/>
    <x v="7"/>
    <x v="0"/>
    <x v="3"/>
    <x v="6"/>
    <n v="445.16"/>
    <n v="4006.44"/>
    <x v="998"/>
    <x v="996"/>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9BD687-C694-4FD6-A9F3-58AB89314B9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2:E16" firstHeaderRow="1" firstDataRow="1" firstDataCol="1"/>
  <pivotFields count="18">
    <pivotField showAll="0"/>
    <pivotField axis="axisRow"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items count="7">
        <item x="1"/>
        <item x="0"/>
        <item x="5"/>
        <item x="3"/>
        <item x="2"/>
        <item x="4"/>
        <item t="default"/>
      </items>
    </pivotField>
    <pivotField showAll="0"/>
    <pivotField showAll="0">
      <items count="81">
        <item x="20"/>
        <item x="61"/>
        <item x="46"/>
        <item x="65"/>
        <item x="9"/>
        <item x="8"/>
        <item x="21"/>
        <item x="62"/>
        <item x="42"/>
        <item x="33"/>
        <item x="30"/>
        <item x="52"/>
        <item x="12"/>
        <item x="58"/>
        <item x="53"/>
        <item x="37"/>
        <item x="31"/>
        <item x="48"/>
        <item x="35"/>
        <item x="63"/>
        <item x="39"/>
        <item x="27"/>
        <item x="10"/>
        <item x="67"/>
        <item x="50"/>
        <item x="36"/>
        <item x="2"/>
        <item x="16"/>
        <item x="5"/>
        <item x="44"/>
        <item x="11"/>
        <item x="7"/>
        <item x="56"/>
        <item x="1"/>
        <item x="57"/>
        <item x="70"/>
        <item x="71"/>
        <item x="38"/>
        <item x="66"/>
        <item x="55"/>
        <item x="78"/>
        <item x="74"/>
        <item x="29"/>
        <item x="22"/>
        <item x="19"/>
        <item x="49"/>
        <item x="69"/>
        <item x="47"/>
        <item x="0"/>
        <item x="24"/>
        <item x="51"/>
        <item x="34"/>
        <item x="6"/>
        <item x="77"/>
        <item x="23"/>
        <item x="75"/>
        <item x="59"/>
        <item x="14"/>
        <item x="60"/>
        <item x="25"/>
        <item x="3"/>
        <item x="79"/>
        <item x="76"/>
        <item x="41"/>
        <item x="13"/>
        <item x="45"/>
        <item x="26"/>
        <item x="17"/>
        <item x="43"/>
        <item x="68"/>
        <item x="73"/>
        <item x="72"/>
        <item x="40"/>
        <item x="64"/>
        <item x="54"/>
        <item x="4"/>
        <item x="15"/>
        <item x="32"/>
        <item x="28"/>
        <item x="18"/>
        <item t="default"/>
      </items>
    </pivotField>
    <pivotField showAll="0"/>
    <pivotField showAll="0">
      <items count="5">
        <item x="1"/>
        <item x="2"/>
        <item x="3"/>
        <item x="0"/>
        <item t="default"/>
      </items>
    </pivotField>
    <pivotField showAll="0">
      <items count="11">
        <item x="5"/>
        <item x="9"/>
        <item x="2"/>
        <item x="0"/>
        <item x="8"/>
        <item x="7"/>
        <item x="4"/>
        <item x="1"/>
        <item x="6"/>
        <item x="3"/>
        <item t="default"/>
      </items>
    </pivotField>
    <pivotField numFmtId="44" showAll="0"/>
    <pivotField numFmtId="44" showAll="0"/>
    <pivotField numFmtId="44" showAll="0">
      <items count="1000">
        <item x="728"/>
        <item x="813"/>
        <item x="35"/>
        <item x="595"/>
        <item x="991"/>
        <item x="20"/>
        <item x="655"/>
        <item x="252"/>
        <item x="308"/>
        <item x="354"/>
        <item x="423"/>
        <item x="264"/>
        <item x="846"/>
        <item x="759"/>
        <item x="590"/>
        <item x="736"/>
        <item x="452"/>
        <item x="650"/>
        <item x="102"/>
        <item x="389"/>
        <item x="427"/>
        <item x="201"/>
        <item x="54"/>
        <item x="257"/>
        <item x="156"/>
        <item x="691"/>
        <item x="569"/>
        <item x="690"/>
        <item x="403"/>
        <item x="605"/>
        <item x="40"/>
        <item x="616"/>
        <item x="807"/>
        <item x="661"/>
        <item x="802"/>
        <item x="333"/>
        <item x="58"/>
        <item x="222"/>
        <item x="966"/>
        <item x="210"/>
        <item x="789"/>
        <item x="968"/>
        <item x="891"/>
        <item x="934"/>
        <item x="397"/>
        <item x="985"/>
        <item x="343"/>
        <item x="632"/>
        <item x="829"/>
        <item x="581"/>
        <item x="912"/>
        <item x="125"/>
        <item x="942"/>
        <item x="366"/>
        <item x="781"/>
        <item x="335"/>
        <item x="17"/>
        <item x="177"/>
        <item x="865"/>
        <item x="997"/>
        <item x="920"/>
        <item x="860"/>
        <item x="439"/>
        <item x="127"/>
        <item x="897"/>
        <item x="503"/>
        <item x="693"/>
        <item x="603"/>
        <item x="199"/>
        <item x="145"/>
        <item x="826"/>
        <item x="642"/>
        <item x="956"/>
        <item x="328"/>
        <item x="173"/>
        <item x="306"/>
        <item x="460"/>
        <item x="122"/>
        <item x="83"/>
        <item x="405"/>
        <item x="195"/>
        <item x="841"/>
        <item x="155"/>
        <item x="48"/>
        <item x="296"/>
        <item x="977"/>
        <item x="709"/>
        <item x="327"/>
        <item x="71"/>
        <item x="348"/>
        <item x="319"/>
        <item x="777"/>
        <item x="866"/>
        <item x="704"/>
        <item x="445"/>
        <item x="117"/>
        <item x="302"/>
        <item x="749"/>
        <item x="421"/>
        <item x="573"/>
        <item x="636"/>
        <item x="820"/>
        <item x="428"/>
        <item x="842"/>
        <item x="963"/>
        <item x="250"/>
        <item x="480"/>
        <item x="625"/>
        <item x="758"/>
        <item x="487"/>
        <item x="52"/>
        <item x="976"/>
        <item x="77"/>
        <item x="301"/>
        <item x="918"/>
        <item x="81"/>
        <item x="415"/>
        <item x="668"/>
        <item x="570"/>
        <item x="45"/>
        <item x="179"/>
        <item x="249"/>
        <item x="454"/>
        <item x="675"/>
        <item x="242"/>
        <item x="787"/>
        <item x="94"/>
        <item x="694"/>
        <item x="204"/>
        <item x="283"/>
        <item x="176"/>
        <item x="476"/>
        <item x="684"/>
        <item x="190"/>
        <item x="273"/>
        <item x="578"/>
        <item x="385"/>
        <item x="508"/>
        <item x="621"/>
        <item x="246"/>
        <item x="784"/>
        <item x="53"/>
        <item x="745"/>
        <item x="812"/>
        <item x="371"/>
        <item x="884"/>
        <item x="695"/>
        <item x="556"/>
        <item x="197"/>
        <item x="295"/>
        <item x="814"/>
        <item x="276"/>
        <item x="876"/>
        <item x="47"/>
        <item x="767"/>
        <item x="435"/>
        <item x="225"/>
        <item x="486"/>
        <item x="456"/>
        <item x="393"/>
        <item x="322"/>
        <item x="89"/>
        <item x="982"/>
        <item x="370"/>
        <item x="207"/>
        <item x="76"/>
        <item x="545"/>
        <item x="380"/>
        <item x="780"/>
        <item x="919"/>
        <item x="144"/>
        <item x="593"/>
        <item x="130"/>
        <item x="732"/>
        <item x="601"/>
        <item x="7"/>
        <item x="167"/>
        <item x="132"/>
        <item x="121"/>
        <item x="278"/>
        <item x="740"/>
        <item x="97"/>
        <item x="725"/>
        <item x="915"/>
        <item x="877"/>
        <item x="340"/>
        <item x="848"/>
        <item x="501"/>
        <item x="723"/>
        <item x="33"/>
        <item x="766"/>
        <item x="711"/>
        <item x="902"/>
        <item x="731"/>
        <item x="833"/>
        <item x="411"/>
        <item x="318"/>
        <item x="879"/>
        <item x="949"/>
        <item x="410"/>
        <item x="811"/>
        <item x="164"/>
        <item x="962"/>
        <item x="635"/>
        <item x="858"/>
        <item x="124"/>
        <item x="946"/>
        <item x="375"/>
        <item x="16"/>
        <item x="408"/>
        <item x="779"/>
        <item x="722"/>
        <item x="686"/>
        <item x="315"/>
        <item x="818"/>
        <item x="200"/>
        <item x="941"/>
        <item x="937"/>
        <item x="228"/>
        <item x="664"/>
        <item x="516"/>
        <item x="957"/>
        <item x="785"/>
        <item x="93"/>
        <item x="243"/>
        <item x="312"/>
        <item x="817"/>
        <item x="527"/>
        <item x="131"/>
        <item x="763"/>
        <item x="112"/>
        <item x="189"/>
        <item x="149"/>
        <item x="580"/>
        <item x="755"/>
        <item x="782"/>
        <item x="449"/>
        <item x="258"/>
        <item x="857"/>
        <item x="61"/>
        <item x="870"/>
        <item x="598"/>
        <item x="437"/>
        <item x="459"/>
        <item x="837"/>
        <item x="717"/>
        <item x="101"/>
        <item x="995"/>
        <item x="673"/>
        <item x="792"/>
        <item x="515"/>
        <item x="172"/>
        <item x="952"/>
        <item x="983"/>
        <item x="420"/>
        <item x="75"/>
        <item x="788"/>
        <item x="986"/>
        <item x="416"/>
        <item x="466"/>
        <item x="514"/>
        <item x="568"/>
        <item x="458"/>
        <item x="294"/>
        <item x="325"/>
        <item x="234"/>
        <item x="638"/>
        <item x="18"/>
        <item x="733"/>
        <item x="381"/>
        <item x="338"/>
        <item x="550"/>
        <item x="553"/>
        <item x="92"/>
        <item x="483"/>
        <item x="803"/>
        <item x="447"/>
        <item x="134"/>
        <item x="116"/>
        <item x="834"/>
        <item x="0"/>
        <item x="236"/>
        <item x="203"/>
        <item x="586"/>
        <item x="468"/>
        <item x="589"/>
        <item x="542"/>
        <item x="181"/>
        <item x="126"/>
        <item x="79"/>
        <item x="247"/>
        <item x="499"/>
        <item x="135"/>
        <item x="287"/>
        <item x="534"/>
        <item x="981"/>
        <item x="270"/>
        <item x="231"/>
        <item x="947"/>
        <item x="310"/>
        <item x="665"/>
        <item x="14"/>
        <item x="548"/>
        <item x="118"/>
        <item x="309"/>
        <item x="878"/>
        <item x="30"/>
        <item x="853"/>
        <item x="644"/>
        <item x="771"/>
        <item x="529"/>
        <item x="169"/>
        <item x="808"/>
        <item x="399"/>
        <item x="245"/>
        <item x="525"/>
        <item x="419"/>
        <item x="298"/>
        <item x="798"/>
        <item x="224"/>
        <item x="958"/>
        <item x="544"/>
        <item x="727"/>
        <item x="27"/>
        <item x="971"/>
        <item x="610"/>
        <item x="342"/>
        <item x="373"/>
        <item x="206"/>
        <item x="871"/>
        <item x="192"/>
        <item x="493"/>
        <item x="574"/>
        <item x="552"/>
        <item x="323"/>
        <item x="541"/>
        <item x="8"/>
        <item x="560"/>
        <item x="496"/>
        <item x="911"/>
        <item x="571"/>
        <item x="667"/>
        <item x="647"/>
        <item x="85"/>
        <item x="773"/>
        <item x="202"/>
        <item x="482"/>
        <item x="55"/>
        <item x="730"/>
        <item x="742"/>
        <item x="547"/>
        <item x="849"/>
        <item x="994"/>
        <item x="431"/>
        <item x="943"/>
        <item x="801"/>
        <item x="868"/>
        <item x="260"/>
        <item x="969"/>
        <item x="87"/>
        <item x="852"/>
        <item x="453"/>
        <item x="43"/>
        <item x="705"/>
        <item x="479"/>
        <item x="70"/>
        <item x="143"/>
        <item x="25"/>
        <item x="109"/>
        <item x="372"/>
        <item x="543"/>
        <item x="697"/>
        <item x="567"/>
        <item x="720"/>
        <item x="444"/>
        <item x="254"/>
        <item x="506"/>
        <item x="334"/>
        <item x="185"/>
        <item x="648"/>
        <item x="960"/>
        <item x="316"/>
        <item x="512"/>
        <item x="596"/>
        <item x="856"/>
        <item x="462"/>
        <item x="194"/>
        <item x="892"/>
        <item x="284"/>
        <item x="289"/>
        <item x="923"/>
        <item x="259"/>
        <item x="791"/>
        <item x="404"/>
        <item x="894"/>
        <item x="78"/>
        <item x="824"/>
        <item x="651"/>
        <item x="926"/>
        <item x="772"/>
        <item x="237"/>
        <item x="290"/>
        <item x="438"/>
        <item x="151"/>
        <item x="770"/>
        <item x="395"/>
        <item x="916"/>
        <item x="265"/>
        <item x="166"/>
        <item x="229"/>
        <item x="875"/>
        <item x="988"/>
        <item x="336"/>
        <item x="344"/>
        <item x="34"/>
        <item x="989"/>
        <item x="793"/>
        <item x="465"/>
        <item x="235"/>
        <item x="653"/>
        <item x="794"/>
        <item x="701"/>
        <item x="492"/>
        <item x="450"/>
        <item x="430"/>
        <item x="564"/>
        <item x="760"/>
        <item x="990"/>
        <item x="707"/>
        <item x="681"/>
        <item x="106"/>
        <item x="869"/>
        <item x="387"/>
        <item x="886"/>
        <item x="622"/>
        <item x="461"/>
        <item x="305"/>
        <item x="442"/>
        <item x="183"/>
        <item x="965"/>
        <item x="274"/>
        <item x="861"/>
        <item x="606"/>
        <item x="392"/>
        <item x="840"/>
        <item x="285"/>
        <item x="546"/>
        <item x="299"/>
        <item x="930"/>
        <item x="682"/>
        <item x="624"/>
        <item x="38"/>
        <item x="500"/>
        <item x="23"/>
        <item x="672"/>
        <item x="890"/>
        <item x="382"/>
        <item x="159"/>
        <item x="620"/>
        <item x="708"/>
        <item x="262"/>
        <item x="332"/>
        <item x="591"/>
        <item x="914"/>
        <item x="86"/>
        <item x="646"/>
        <item x="240"/>
        <item x="823"/>
        <item x="402"/>
        <item x="44"/>
        <item x="368"/>
        <item x="712"/>
        <item x="470"/>
        <item x="414"/>
        <item x="979"/>
        <item x="351"/>
        <item x="900"/>
        <item x="582"/>
        <item x="57"/>
        <item x="609"/>
        <item x="893"/>
        <item x="317"/>
        <item x="505"/>
        <item x="157"/>
        <item x="11"/>
        <item x="738"/>
        <item x="39"/>
        <item x="150"/>
        <item x="286"/>
        <item x="188"/>
        <item x="752"/>
        <item x="485"/>
        <item x="378"/>
        <item x="105"/>
        <item x="945"/>
        <item x="321"/>
        <item x="353"/>
        <item x="643"/>
        <item x="330"/>
        <item x="191"/>
        <item x="924"/>
        <item x="554"/>
        <item x="903"/>
        <item x="369"/>
        <item x="457"/>
        <item x="783"/>
        <item x="519"/>
        <item x="992"/>
        <item x="110"/>
        <item x="910"/>
        <item x="855"/>
        <item x="521"/>
        <item x="271"/>
        <item x="417"/>
        <item x="2"/>
        <item x="349"/>
        <item x="844"/>
        <item x="436"/>
        <item x="119"/>
        <item x="658"/>
        <item x="67"/>
        <item x="362"/>
        <item x="383"/>
        <item x="935"/>
        <item x="716"/>
        <item x="662"/>
        <item x="706"/>
        <item x="735"/>
        <item x="62"/>
        <item x="477"/>
        <item x="526"/>
        <item x="12"/>
        <item x="895"/>
        <item x="292"/>
        <item x="279"/>
        <item x="184"/>
        <item x="220"/>
        <item x="786"/>
        <item x="835"/>
        <item x="984"/>
        <item x="954"/>
        <item x="906"/>
        <item x="862"/>
        <item x="699"/>
        <item x="390"/>
        <item x="953"/>
        <item x="497"/>
        <item x="634"/>
        <item x="764"/>
        <item x="412"/>
        <item x="931"/>
        <item x="685"/>
        <item x="473"/>
        <item x="215"/>
        <item x="376"/>
        <item x="180"/>
        <item x="277"/>
        <item x="511"/>
        <item x="495"/>
        <item x="104"/>
        <item x="374"/>
        <item x="36"/>
        <item x="810"/>
        <item x="474"/>
        <item x="158"/>
        <item x="561"/>
        <item x="680"/>
        <item x="64"/>
        <item x="111"/>
        <item x="881"/>
        <item x="936"/>
        <item x="907"/>
        <item x="951"/>
        <item x="925"/>
        <item x="422"/>
        <item x="555"/>
        <item x="799"/>
        <item x="710"/>
        <item x="587"/>
        <item x="60"/>
        <item x="639"/>
        <item x="805"/>
        <item x="314"/>
        <item x="751"/>
        <item x="123"/>
        <item x="171"/>
        <item x="599"/>
        <item x="825"/>
        <item x="917"/>
        <item x="975"/>
        <item x="504"/>
        <item x="726"/>
        <item x="602"/>
        <item x="413"/>
        <item x="734"/>
        <item x="65"/>
        <item x="337"/>
        <item x="424"/>
        <item x="356"/>
        <item x="266"/>
        <item x="588"/>
        <item x="950"/>
        <item x="113"/>
        <item x="838"/>
        <item x="929"/>
        <item x="339"/>
        <item x="426"/>
        <item x="656"/>
        <item x="507"/>
        <item x="594"/>
        <item x="304"/>
        <item x="91"/>
        <item x="696"/>
        <item x="95"/>
        <item x="142"/>
        <item x="948"/>
        <item x="26"/>
        <item x="714"/>
        <item x="678"/>
        <item x="687"/>
        <item x="363"/>
        <item x="633"/>
        <item x="679"/>
        <item x="538"/>
        <item x="575"/>
        <item x="867"/>
        <item x="517"/>
        <item x="138"/>
        <item x="928"/>
        <item x="531"/>
        <item x="887"/>
        <item x="652"/>
        <item x="522"/>
        <item x="809"/>
        <item x="9"/>
        <item x="72"/>
        <item x="626"/>
        <item x="557"/>
        <item x="607"/>
        <item x="406"/>
        <item x="293"/>
        <item x="850"/>
        <item x="448"/>
        <item x="660"/>
        <item x="756"/>
        <item x="269"/>
        <item x="615"/>
        <item x="932"/>
        <item x="233"/>
        <item x="388"/>
        <item x="768"/>
        <item x="619"/>
        <item x="13"/>
        <item x="46"/>
        <item x="152"/>
        <item x="120"/>
        <item x="649"/>
        <item x="836"/>
        <item x="530"/>
        <item x="585"/>
        <item x="15"/>
        <item x="244"/>
        <item x="300"/>
        <item x="350"/>
        <item x="671"/>
        <item x="425"/>
        <item x="174"/>
        <item x="186"/>
        <item x="488"/>
        <item x="821"/>
        <item x="10"/>
        <item x="268"/>
        <item x="42"/>
        <item x="311"/>
        <item x="193"/>
        <item x="513"/>
        <item x="939"/>
        <item x="883"/>
        <item x="357"/>
        <item x="510"/>
        <item x="187"/>
        <item x="218"/>
        <item x="478"/>
        <item x="874"/>
        <item x="795"/>
        <item x="248"/>
        <item x="391"/>
        <item x="489"/>
        <item x="579"/>
        <item x="443"/>
        <item x="227"/>
        <item x="904"/>
        <item x="226"/>
        <item x="451"/>
        <item x="744"/>
        <item x="676"/>
        <item x="37"/>
        <item x="859"/>
        <item x="433"/>
        <item x="645"/>
        <item x="441"/>
        <item x="901"/>
        <item x="129"/>
        <item x="24"/>
        <item x="698"/>
        <item x="536"/>
        <item x="253"/>
        <item x="872"/>
        <item x="776"/>
        <item x="267"/>
        <item x="729"/>
        <item x="467"/>
        <item x="49"/>
        <item x="996"/>
        <item x="472"/>
        <item x="239"/>
        <item x="148"/>
        <item x="703"/>
        <item x="674"/>
        <item x="713"/>
        <item x="352"/>
        <item x="409"/>
        <item x="82"/>
        <item x="282"/>
        <item x="153"/>
        <item x="137"/>
        <item x="162"/>
        <item x="205"/>
        <item x="677"/>
        <item x="379"/>
        <item x="815"/>
        <item x="232"/>
        <item x="993"/>
        <item x="921"/>
        <item x="657"/>
        <item x="851"/>
        <item x="762"/>
        <item x="175"/>
        <item x="839"/>
        <item x="715"/>
        <item x="365"/>
        <item x="345"/>
        <item x="386"/>
        <item x="978"/>
        <item x="933"/>
        <item x="41"/>
        <item x="396"/>
        <item x="329"/>
        <item x="400"/>
        <item x="551"/>
        <item x="974"/>
        <item x="659"/>
        <item x="563"/>
        <item x="230"/>
        <item x="528"/>
        <item x="944"/>
        <item x="217"/>
        <item x="955"/>
        <item x="847"/>
        <item x="828"/>
        <item x="484"/>
        <item x="355"/>
        <item x="885"/>
        <item x="967"/>
        <item x="938"/>
        <item x="74"/>
        <item x="69"/>
        <item x="627"/>
        <item x="103"/>
        <item x="819"/>
        <item x="537"/>
        <item x="796"/>
        <item x="471"/>
        <item x="178"/>
        <item x="313"/>
        <item x="429"/>
        <item x="980"/>
        <item x="831"/>
        <item x="822"/>
        <item x="90"/>
        <item x="216"/>
        <item x="440"/>
        <item x="804"/>
        <item x="394"/>
        <item x="280"/>
        <item x="455"/>
        <item x="618"/>
        <item x="367"/>
        <item x="909"/>
        <item x="761"/>
        <item x="584"/>
        <item x="896"/>
        <item x="540"/>
        <item x="141"/>
        <item x="577"/>
        <item x="320"/>
        <item x="56"/>
        <item x="502"/>
        <item x="608"/>
        <item x="432"/>
        <item x="297"/>
        <item x="970"/>
        <item x="51"/>
        <item x="208"/>
        <item x="360"/>
        <item x="98"/>
        <item x="165"/>
        <item x="147"/>
        <item x="255"/>
        <item x="889"/>
        <item x="816"/>
        <item x="778"/>
        <item x="68"/>
        <item x="629"/>
        <item x="964"/>
        <item x="743"/>
        <item x="737"/>
        <item x="161"/>
        <item x="100"/>
        <item x="583"/>
        <item x="640"/>
        <item x="524"/>
        <item x="617"/>
        <item x="754"/>
        <item x="324"/>
        <item x="401"/>
        <item x="261"/>
        <item x="221"/>
        <item x="520"/>
        <item x="464"/>
        <item x="494"/>
        <item x="133"/>
        <item x="66"/>
        <item x="1"/>
        <item x="223"/>
        <item x="463"/>
        <item x="576"/>
        <item x="88"/>
        <item x="491"/>
        <item x="940"/>
        <item x="303"/>
        <item x="790"/>
        <item x="880"/>
        <item x="212"/>
        <item x="209"/>
        <item x="73"/>
        <item x="613"/>
        <item x="612"/>
        <item x="623"/>
        <item x="288"/>
        <item x="263"/>
        <item x="888"/>
        <item x="558"/>
        <item x="739"/>
        <item x="518"/>
        <item x="107"/>
        <item x="291"/>
        <item x="182"/>
        <item x="168"/>
        <item x="170"/>
        <item x="21"/>
        <item x="532"/>
        <item x="961"/>
        <item x="3"/>
        <item x="359"/>
        <item x="614"/>
        <item x="797"/>
        <item x="641"/>
        <item x="905"/>
        <item x="80"/>
        <item x="475"/>
        <item x="806"/>
        <item x="908"/>
        <item x="128"/>
        <item x="832"/>
        <item x="84"/>
        <item x="523"/>
        <item x="219"/>
        <item x="214"/>
        <item x="757"/>
        <item x="99"/>
        <item x="631"/>
        <item x="434"/>
        <item x="746"/>
        <item x="604"/>
        <item x="59"/>
        <item x="481"/>
        <item x="326"/>
        <item x="769"/>
        <item x="407"/>
        <item x="774"/>
        <item x="628"/>
        <item x="973"/>
        <item x="898"/>
        <item x="238"/>
        <item x="196"/>
        <item x="854"/>
        <item x="256"/>
        <item x="115"/>
        <item x="753"/>
        <item x="4"/>
        <item x="446"/>
        <item x="146"/>
        <item x="800"/>
        <item x="331"/>
        <item x="28"/>
        <item x="5"/>
        <item x="490"/>
        <item x="32"/>
        <item x="346"/>
        <item x="251"/>
        <item x="22"/>
        <item x="572"/>
        <item x="922"/>
        <item x="719"/>
        <item x="700"/>
        <item x="384"/>
        <item x="213"/>
        <item x="398"/>
        <item x="663"/>
        <item x="469"/>
        <item x="899"/>
        <item x="688"/>
        <item x="987"/>
        <item x="741"/>
        <item x="281"/>
        <item x="683"/>
        <item x="830"/>
        <item x="566"/>
        <item x="775"/>
        <item x="358"/>
        <item x="637"/>
        <item x="559"/>
        <item x="108"/>
        <item x="549"/>
        <item x="509"/>
        <item x="600"/>
        <item x="533"/>
        <item x="275"/>
        <item x="418"/>
        <item x="163"/>
        <item x="998"/>
        <item x="377"/>
        <item x="718"/>
        <item x="863"/>
        <item x="724"/>
        <item x="307"/>
        <item x="750"/>
        <item x="361"/>
        <item x="959"/>
        <item x="747"/>
        <item x="654"/>
        <item x="721"/>
        <item x="114"/>
        <item x="6"/>
        <item x="873"/>
        <item x="927"/>
        <item x="669"/>
        <item x="535"/>
        <item x="347"/>
        <item x="539"/>
        <item x="692"/>
        <item x="96"/>
        <item x="827"/>
        <item x="211"/>
        <item x="882"/>
        <item x="19"/>
        <item x="565"/>
        <item x="702"/>
        <item x="864"/>
        <item x="31"/>
        <item x="913"/>
        <item x="972"/>
        <item x="666"/>
        <item x="843"/>
        <item x="136"/>
        <item x="670"/>
        <item x="364"/>
        <item x="50"/>
        <item x="765"/>
        <item x="154"/>
        <item x="241"/>
        <item x="689"/>
        <item x="272"/>
        <item x="748"/>
        <item x="611"/>
        <item x="562"/>
        <item x="140"/>
        <item x="63"/>
        <item x="139"/>
        <item x="341"/>
        <item x="498"/>
        <item x="630"/>
        <item x="160"/>
        <item x="845"/>
        <item x="198"/>
        <item x="592"/>
        <item x="29"/>
        <item x="597"/>
        <item t="default"/>
      </items>
    </pivotField>
    <pivotField numFmtId="165" showAll="0"/>
    <pivotField showAll="0">
      <items count="3">
        <item x="1"/>
        <item x="0"/>
        <item t="default"/>
      </items>
    </pivotField>
    <pivotField showAll="0">
      <items count="4">
        <item x="2"/>
        <item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7"/>
    <field x="16"/>
    <field x="15"/>
    <field x="1"/>
  </rowFields>
  <rowItems count="4">
    <i>
      <x v="1"/>
    </i>
    <i>
      <x v="2"/>
    </i>
    <i>
      <x v="3"/>
    </i>
    <i t="grand">
      <x/>
    </i>
  </rowItems>
  <colItems count="1">
    <i/>
  </colItems>
  <dataFields count="1">
    <dataField name="Count of Customer Name" fld="2"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7" count="1" selected="0">
            <x v="1"/>
          </reference>
        </references>
      </pivotArea>
    </chartFormat>
    <chartFormat chart="9" format="7">
      <pivotArea type="data" outline="0" fieldPosition="0">
        <references count="2">
          <reference field="4294967294" count="1" selected="0">
            <x v="0"/>
          </reference>
          <reference field="17" count="1" selected="0">
            <x v="2"/>
          </reference>
        </references>
      </pivotArea>
    </chartFormat>
    <chartFormat chart="9" format="8">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F6184D-0583-48B2-ABC7-66B7B9478F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F8" firstHeaderRow="1" firstDataRow="2"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pivotField showAll="0"/>
    <pivotField showAll="0">
      <items count="2">
        <item x="0"/>
        <item t="default"/>
      </items>
    </pivotField>
    <pivotField axis="axisCol" showAll="0">
      <items count="5">
        <item x="1"/>
        <item x="2"/>
        <item x="3"/>
        <item x="0"/>
        <item t="default"/>
      </items>
    </pivotField>
    <pivotField showAll="0"/>
    <pivotField numFmtId="44" showAll="0"/>
    <pivotField numFmtId="44" showAll="0"/>
    <pivotField numFmtId="44" showAll="0"/>
    <pivotField dataField="1" numFmtId="165" showAll="0"/>
    <pivotField showAll="0"/>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7"/>
  </rowFields>
  <rowItems count="4">
    <i>
      <x v="1"/>
    </i>
    <i>
      <x v="2"/>
    </i>
    <i>
      <x v="3"/>
    </i>
    <i t="grand">
      <x/>
    </i>
  </rowItems>
  <colFields count="1">
    <field x="7"/>
  </colFields>
  <colItems count="5">
    <i>
      <x/>
    </i>
    <i>
      <x v="1"/>
    </i>
    <i>
      <x v="2"/>
    </i>
    <i>
      <x v="3"/>
    </i>
    <i t="grand">
      <x/>
    </i>
  </colItems>
  <dataFields count="1">
    <dataField name="Sum of Profit" fld="12" baseField="0" baseItem="0" numFmtId="165"/>
  </dataFields>
  <chartFormats count="8">
    <chartFormat chart="6" format="4" series="1">
      <pivotArea type="data" outline="0" fieldPosition="0">
        <references count="2">
          <reference field="4294967294" count="1" selected="0">
            <x v="0"/>
          </reference>
          <reference field="7" count="1" selected="0">
            <x v="0"/>
          </reference>
        </references>
      </pivotArea>
    </chartFormat>
    <chartFormat chart="6" format="5" series="1">
      <pivotArea type="data" outline="0" fieldPosition="0">
        <references count="2">
          <reference field="4294967294" count="1" selected="0">
            <x v="0"/>
          </reference>
          <reference field="7" count="1" selected="0">
            <x v="1"/>
          </reference>
        </references>
      </pivotArea>
    </chartFormat>
    <chartFormat chart="6" format="6" series="1">
      <pivotArea type="data" outline="0" fieldPosition="0">
        <references count="2">
          <reference field="4294967294" count="1" selected="0">
            <x v="0"/>
          </reference>
          <reference field="7" count="1" selected="0">
            <x v="2"/>
          </reference>
        </references>
      </pivotArea>
    </chartFormat>
    <chartFormat chart="6" format="7" series="1">
      <pivotArea type="data" outline="0" fieldPosition="0">
        <references count="2">
          <reference field="4294967294" count="1" selected="0">
            <x v="0"/>
          </reference>
          <reference field="7" count="1" selected="0">
            <x v="3"/>
          </reference>
        </references>
      </pivotArea>
    </chartFormat>
    <chartFormat chart="27" format="8" series="1">
      <pivotArea type="data" outline="0" fieldPosition="0">
        <references count="2">
          <reference field="4294967294" count="1" selected="0">
            <x v="0"/>
          </reference>
          <reference field="7" count="1" selected="0">
            <x v="0"/>
          </reference>
        </references>
      </pivotArea>
    </chartFormat>
    <chartFormat chart="27" format="9" series="1">
      <pivotArea type="data" outline="0" fieldPosition="0">
        <references count="2">
          <reference field="4294967294" count="1" selected="0">
            <x v="0"/>
          </reference>
          <reference field="7" count="1" selected="0">
            <x v="1"/>
          </reference>
        </references>
      </pivotArea>
    </chartFormat>
    <chartFormat chart="27" format="10" series="1">
      <pivotArea type="data" outline="0" fieldPosition="0">
        <references count="2">
          <reference field="4294967294" count="1" selected="0">
            <x v="0"/>
          </reference>
          <reference field="7" count="1" selected="0">
            <x v="2"/>
          </reference>
        </references>
      </pivotArea>
    </chartFormat>
    <chartFormat chart="27"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73D46-F8C4-4041-A553-C917D17EF6F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2:H16"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pivotField showAll="0"/>
    <pivotField showAll="0"/>
    <pivotField dataField="1" showAll="0">
      <items count="5">
        <item x="1"/>
        <item x="2"/>
        <item x="3"/>
        <item x="0"/>
        <item t="default"/>
      </items>
    </pivotField>
    <pivotField showAll="0"/>
    <pivotField numFmtId="44" showAll="0"/>
    <pivotField numFmtId="44" showAll="0"/>
    <pivotField numFmtId="44" showAll="0"/>
    <pivotField numFmtId="165" showAll="0"/>
    <pivotField showAll="0"/>
    <pivotField axis="axisRow"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4"/>
  </rowFields>
  <rowItems count="4">
    <i>
      <x/>
    </i>
    <i>
      <x v="1"/>
    </i>
    <i>
      <x v="2"/>
    </i>
    <i t="grand">
      <x/>
    </i>
  </rowItems>
  <colItems count="1">
    <i/>
  </colItems>
  <dataFields count="1">
    <dataField name="Count of Product" fld="7" subtotal="count"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808FE1-FBB1-40A6-A773-D3C8CA2B8F8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2:E27"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pivotField showAll="0"/>
    <pivotField showAll="0"/>
    <pivotField axis="axisRow" showAll="0">
      <items count="5">
        <item x="1"/>
        <item x="2"/>
        <item x="3"/>
        <item x="0"/>
        <item t="default"/>
      </items>
    </pivotField>
    <pivotField showAll="0"/>
    <pivotField numFmtId="44" showAll="0"/>
    <pivotField numFmtId="44" showAll="0"/>
    <pivotField dataField="1" numFmtId="44" showAll="0"/>
    <pivotField numFmtId="165" showAll="0"/>
    <pivotField showAll="0"/>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Sales Amount" fld="11" baseField="0" baseItem="0" numFmtId="4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C391D2-18F8-462B-B017-23EEA2A072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pivotField showAll="0"/>
    <pivotField showAll="0"/>
    <pivotField showAll="0">
      <items count="5">
        <item x="1"/>
        <item x="2"/>
        <item x="3"/>
        <item x="0"/>
        <item t="default"/>
      </items>
    </pivotField>
    <pivotField showAll="0"/>
    <pivotField numFmtId="44" showAll="0"/>
    <pivotField numFmtId="44" showAll="0"/>
    <pivotField numFmtId="44" showAll="0"/>
    <pivotField dataField="1" numFmtId="165" showAll="0"/>
    <pivotField showAll="0"/>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Profit" fld="12"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CF3091-671F-4D22-93DD-9A32D00BEF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pivotField showAll="0"/>
    <pivotField showAll="0"/>
    <pivotField showAll="0">
      <items count="5">
        <item x="1"/>
        <item x="2"/>
        <item x="3"/>
        <item x="0"/>
        <item t="default"/>
      </items>
    </pivotField>
    <pivotField showAll="0"/>
    <pivotField numFmtId="44" showAll="0"/>
    <pivotField numFmtId="44" showAll="0"/>
    <pivotField dataField="1" numFmtId="44" showAll="0"/>
    <pivotField numFmtId="165" showAll="0"/>
    <pivotField showAll="0"/>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Sales Amount" fld="11"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8EBD46-A111-40FA-A6CD-6B514EAB798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2:B27"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pivotField showAll="0"/>
    <pivotField showAll="0"/>
    <pivotField axis="axisRow" showAll="0">
      <items count="5">
        <item x="1"/>
        <item x="2"/>
        <item x="3"/>
        <item x="0"/>
        <item t="default"/>
      </items>
    </pivotField>
    <pivotField showAll="0"/>
    <pivotField numFmtId="44" showAll="0"/>
    <pivotField numFmtId="44" showAll="0"/>
    <pivotField numFmtId="44" showAll="0"/>
    <pivotField dataField="1" numFmtId="165" showAll="0">
      <items count="998">
        <item x="593"/>
        <item x="726"/>
        <item x="35"/>
        <item x="844"/>
        <item x="811"/>
        <item x="306"/>
        <item x="652"/>
        <item x="757"/>
        <item x="352"/>
        <item x="255"/>
        <item x="989"/>
        <item x="101"/>
        <item x="54"/>
        <item x="613"/>
        <item x="58"/>
        <item x="588"/>
        <item x="800"/>
        <item x="734"/>
        <item x="199"/>
        <item x="20"/>
        <item x="450"/>
        <item x="250"/>
        <item x="220"/>
        <item x="333"/>
        <item x="262"/>
        <item x="425"/>
        <item x="421"/>
        <item x="331"/>
        <item x="940"/>
        <item x="387"/>
        <item x="964"/>
        <item x="17"/>
        <item x="688"/>
        <item x="629"/>
        <item x="154"/>
        <item x="153"/>
        <item x="647"/>
        <item x="71"/>
        <item x="602"/>
        <item x="639"/>
        <item x="840"/>
        <item x="52"/>
        <item x="995"/>
        <item x="485"/>
        <item x="681"/>
        <item x="401"/>
        <item x="687"/>
        <item x="983"/>
        <item x="747"/>
        <item x="48"/>
        <item x="966"/>
        <item x="247"/>
        <item x="691"/>
        <item x="658"/>
        <item x="567"/>
        <item x="882"/>
        <item x="889"/>
        <item x="932"/>
        <item x="756"/>
        <item x="40"/>
        <item x="81"/>
        <item x="125"/>
        <item x="827"/>
        <item x="954"/>
        <item x="805"/>
        <item x="554"/>
        <item x="346"/>
        <item x="818"/>
        <item x="775"/>
        <item x="197"/>
        <item x="395"/>
        <item x="599"/>
        <item x="208"/>
        <item x="918"/>
        <item x="120"/>
        <item x="171"/>
        <item x="618"/>
        <item x="304"/>
        <item x="910"/>
        <item x="452"/>
        <item x="782"/>
        <item x="7"/>
        <item x="690"/>
        <item x="895"/>
        <item x="364"/>
        <item x="701"/>
        <item x="193"/>
        <item x="683"/>
        <item x="83"/>
        <item x="299"/>
        <item x="165"/>
        <item x="409"/>
        <item x="961"/>
        <item x="326"/>
        <item x="458"/>
        <item x="779"/>
        <item x="661"/>
        <item x="824"/>
        <item x="812"/>
        <item x="787"/>
        <item x="187"/>
        <item x="241"/>
        <item x="960"/>
        <item x="143"/>
        <item x="777"/>
        <item x="403"/>
        <item x="300"/>
        <item x="499"/>
        <item x="484"/>
        <item x="858"/>
        <item x="839"/>
        <item x="980"/>
        <item x="116"/>
        <item x="341"/>
        <item x="188"/>
        <item x="123"/>
        <item x="633"/>
        <item x="223"/>
        <item x="723"/>
        <item x="454"/>
        <item x="975"/>
        <item x="622"/>
        <item x="248"/>
        <item x="478"/>
        <item x="276"/>
        <item x="119"/>
        <item x="45"/>
        <item x="579"/>
        <item x="325"/>
        <item x="706"/>
        <item x="437"/>
        <item x="944"/>
        <item x="419"/>
        <item x="591"/>
        <item x="408"/>
        <item x="175"/>
        <item x="443"/>
        <item x="271"/>
        <item x="900"/>
        <item x="917"/>
        <item x="863"/>
        <item x="501"/>
        <item x="753"/>
        <item x="100"/>
        <item x="864"/>
        <item x="571"/>
        <item x="317"/>
        <item x="383"/>
        <item x="142"/>
        <item x="481"/>
        <item x="665"/>
        <item x="543"/>
        <item x="720"/>
        <item x="670"/>
        <item x="916"/>
        <item x="133"/>
        <item x="77"/>
        <item x="974"/>
        <item x="391"/>
        <item x="128"/>
        <item x="426"/>
        <item x="523"/>
        <item x="806"/>
        <item x="785"/>
        <item x="293"/>
        <item x="464"/>
        <item x="89"/>
        <item x="294"/>
        <item x="457"/>
        <item x="369"/>
        <item x="809"/>
        <item x="308"/>
        <item x="981"/>
        <item x="765"/>
        <item x="274"/>
        <item x="61"/>
        <item x="47"/>
        <item x="576"/>
        <item x="174"/>
        <item x="847"/>
        <item x="179"/>
        <item x="713"/>
        <item x="130"/>
        <item x="433"/>
        <item x="783"/>
        <item x="568"/>
        <item x="202"/>
        <item x="474"/>
        <item x="122"/>
        <item x="240"/>
        <item x="313"/>
        <item x="866"/>
        <item x="406"/>
        <item x="200"/>
        <item x="445"/>
        <item x="738"/>
        <item x="786"/>
        <item x="743"/>
        <item x="321"/>
        <item x="115"/>
        <item x="244"/>
        <item x="229"/>
        <item x="177"/>
        <item x="708"/>
        <item x="572"/>
        <item x="30"/>
        <item x="413"/>
        <item x="0"/>
        <item x="979"/>
        <item x="510"/>
        <item x="205"/>
        <item x="874"/>
        <item x="877"/>
        <item x="672"/>
        <item x="8"/>
        <item x="967"/>
        <item x="558"/>
        <item x="947"/>
        <item x="721"/>
        <item x="939"/>
        <item x="506"/>
        <item x="855"/>
        <item x="831"/>
        <item x="790"/>
        <item x="281"/>
        <item x="373"/>
        <item x="850"/>
        <item x="320"/>
        <item x="856"/>
        <item x="632"/>
        <item x="846"/>
        <item x="96"/>
        <item x="93"/>
        <item x="810"/>
        <item x="875"/>
        <item x="201"/>
        <item x="692"/>
        <item x="884"/>
        <item x="504"/>
        <item x="542"/>
        <item x="53"/>
        <item x="868"/>
        <item x="764"/>
        <item x="448"/>
        <item x="513"/>
        <item x="92"/>
        <item x="730"/>
        <item x="108"/>
        <item x="195"/>
        <item x="310"/>
        <item x="33"/>
        <item x="480"/>
        <item x="729"/>
        <item x="233"/>
        <item x="435"/>
        <item x="129"/>
        <item x="132"/>
        <item x="645"/>
        <item x="323"/>
        <item x="463"/>
        <item x="314"/>
        <item x="76"/>
        <item x="55"/>
        <item x="913"/>
        <item x="368"/>
        <item x="768"/>
        <item x="922"/>
        <item x="226"/>
        <item x="157"/>
        <item x="778"/>
        <item x="338"/>
        <item x="378"/>
        <item x="418"/>
        <item x="512"/>
        <item x="170"/>
        <item x="117"/>
        <item x="617"/>
        <item x="821"/>
        <item x="943"/>
        <item x="664"/>
        <item x="514"/>
        <item x="587"/>
        <item x="715"/>
        <item x="447"/>
        <item x="268"/>
        <item x="650"/>
        <item x="835"/>
        <item x="545"/>
        <item x="540"/>
        <item x="181"/>
        <item x="258"/>
        <item x="822"/>
        <item x="603"/>
        <item x="429"/>
        <item x="334"/>
        <item x="525"/>
        <item x="381"/>
        <item x="414"/>
        <item x="958"/>
        <item x="546"/>
        <item x="497"/>
        <item x="256"/>
        <item x="761"/>
        <item x="548"/>
        <item x="162"/>
        <item x="316"/>
        <item x="111"/>
        <item x="272"/>
        <item x="379"/>
        <item x="14"/>
        <item x="87"/>
        <item x="815"/>
        <item x="16"/>
        <item x="935"/>
        <item x="702"/>
        <item x="234"/>
        <item x="859"/>
        <item x="955"/>
        <item x="456"/>
        <item x="417"/>
        <item x="578"/>
        <item x="801"/>
        <item x="75"/>
        <item x="901"/>
        <item x="816"/>
        <item x="635"/>
        <item x="189"/>
        <item x="232"/>
        <item x="532"/>
        <item x="198"/>
        <item x="290"/>
        <item x="477"/>
        <item x="987"/>
        <item x="984"/>
        <item x="367"/>
        <item x="550"/>
        <item x="360"/>
        <item x="18"/>
        <item x="385"/>
        <item x="823"/>
        <item x="770"/>
        <item x="584"/>
        <item x="780"/>
        <item x="832"/>
        <item x="335"/>
        <item x="190"/>
        <item x="141"/>
        <item x="792"/>
        <item x="728"/>
        <item x="79"/>
        <item x="956"/>
        <item x="147"/>
        <item x="566"/>
        <item x="659"/>
        <item x="596"/>
        <item x="950"/>
        <item x="285"/>
        <item x="993"/>
        <item x="515"/>
        <item x="245"/>
        <item x="541"/>
        <item x="945"/>
        <item x="12"/>
        <item x="397"/>
        <item x="704"/>
        <item x="731"/>
        <item x="393"/>
        <item x="705"/>
        <item x="952"/>
        <item x="222"/>
        <item x="204"/>
        <item x="340"/>
        <item x="292"/>
        <item x="662"/>
        <item x="551"/>
        <item x="833"/>
        <item x="23"/>
        <item x="669"/>
        <item x="140"/>
        <item x="740"/>
        <item x="653"/>
        <item x="698"/>
        <item x="412"/>
        <item x="37"/>
        <item x="607"/>
        <item x="876"/>
        <item x="552"/>
        <item x="336"/>
        <item x="851"/>
        <item x="494"/>
        <item x="527"/>
        <item x="992"/>
        <item x="442"/>
        <item x="105"/>
        <item x="678"/>
        <item x="466"/>
        <item x="410"/>
        <item x="838"/>
        <item x="569"/>
        <item x="303"/>
        <item x="85"/>
        <item x="909"/>
        <item x="791"/>
        <item x="57"/>
        <item x="390"/>
        <item x="182"/>
        <item x="948"/>
        <item x="436"/>
        <item x="192"/>
        <item x="908"/>
        <item x="631"/>
        <item x="963"/>
        <item x="263"/>
        <item x="585"/>
        <item x="718"/>
        <item x="594"/>
        <item x="714"/>
        <item x="351"/>
        <item x="402"/>
        <item x="769"/>
        <item x="867"/>
        <item x="124"/>
        <item x="621"/>
        <item x="370"/>
        <item x="296"/>
        <item x="524"/>
        <item x="252"/>
        <item x="275"/>
        <item x="70"/>
        <item x="283"/>
        <item x="307"/>
        <item x="167"/>
        <item x="11"/>
        <item x="904"/>
        <item x="156"/>
        <item x="641"/>
        <item x="931"/>
        <item x="771"/>
        <item x="371"/>
        <item x="302"/>
        <item x="990"/>
        <item x="725"/>
        <item x="348"/>
        <item x="873"/>
        <item x="183"/>
        <item x="347"/>
        <item x="994"/>
        <item x="869"/>
        <item x="941"/>
        <item x="39"/>
        <item x="94"/>
        <item x="969"/>
        <item x="796"/>
        <item x="164"/>
        <item x="361"/>
        <item x="243"/>
        <item x="424"/>
        <item x="27"/>
        <item x="149"/>
        <item x="376"/>
        <item x="817"/>
        <item x="890"/>
        <item x="644"/>
        <item x="580"/>
        <item x="118"/>
        <item x="227"/>
        <item x="468"/>
        <item x="25"/>
        <item x="562"/>
        <item x="648"/>
        <item x="43"/>
        <item x="384"/>
        <item x="2"/>
        <item x="929"/>
        <item x="539"/>
        <item x="103"/>
        <item x="330"/>
        <item x="834"/>
        <item x="332"/>
        <item x="491"/>
        <item x="235"/>
        <item x="612"/>
        <item x="214"/>
        <item x="238"/>
        <item x="486"/>
        <item x="438"/>
        <item x="636"/>
        <item x="459"/>
        <item x="38"/>
        <item x="260"/>
        <item x="808"/>
        <item x="793"/>
        <item x="386"/>
        <item x="892"/>
        <item x="163"/>
        <item x="121"/>
        <item x="606"/>
        <item x="282"/>
        <item x="460"/>
        <item x="186"/>
        <item x="490"/>
        <item x="15"/>
        <item x="986"/>
        <item x="774"/>
        <item x="72"/>
        <item x="388"/>
        <item x="600"/>
        <item x="315"/>
        <item x="703"/>
        <item x="62"/>
        <item x="400"/>
        <item x="173"/>
        <item x="495"/>
        <item x="498"/>
        <item x="218"/>
        <item x="799"/>
        <item x="604"/>
        <item x="451"/>
        <item x="643"/>
        <item x="886"/>
        <item x="148"/>
        <item x="565"/>
        <item x="707"/>
        <item x="267"/>
        <item x="933"/>
        <item x="64"/>
        <item x="257"/>
        <item x="924"/>
        <item x="946"/>
        <item x="893"/>
        <item x="750"/>
        <item x="736"/>
        <item x="789"/>
        <item x="136"/>
        <item x="619"/>
        <item x="694"/>
        <item x="427"/>
        <item x="10"/>
        <item x="762"/>
        <item x="679"/>
        <item x="921"/>
        <item x="854"/>
        <item x="135"/>
        <item x="732"/>
        <item x="781"/>
        <item x="676"/>
        <item x="605"/>
        <item x="109"/>
        <item x="358"/>
        <item x="102"/>
        <item x="656"/>
        <item x="259"/>
        <item x="288"/>
        <item x="469"/>
        <item x="519"/>
        <item x="516"/>
        <item x="505"/>
        <item x="422"/>
        <item x="923"/>
        <item x="837"/>
        <item x="493"/>
        <item x="86"/>
        <item x="878"/>
        <item x="428"/>
        <item x="230"/>
        <item x="78"/>
        <item x="287"/>
        <item x="301"/>
        <item x="269"/>
        <item x="870"/>
        <item x="342"/>
        <item x="758"/>
        <item x="814"/>
        <item x="34"/>
        <item x="517"/>
        <item x="914"/>
        <item x="67"/>
        <item x="349"/>
        <item x="472"/>
        <item x="934"/>
        <item x="475"/>
        <item x="415"/>
        <item x="434"/>
        <item x="169"/>
        <item x="319"/>
        <item x="36"/>
        <item x="298"/>
        <item x="589"/>
        <item x="677"/>
        <item x="439"/>
        <item x="742"/>
        <item x="898"/>
        <item x="363"/>
        <item x="297"/>
        <item x="988"/>
        <item x="930"/>
        <item x="795"/>
        <item x="44"/>
        <item x="646"/>
        <item x="353"/>
        <item x="797"/>
        <item x="440"/>
        <item x="872"/>
        <item x="951"/>
        <item x="483"/>
        <item x="912"/>
        <item x="544"/>
        <item x="773"/>
        <item x="819"/>
        <item x="104"/>
        <item x="112"/>
        <item x="49"/>
        <item x="597"/>
        <item x="759"/>
        <item x="82"/>
        <item x="915"/>
        <item x="155"/>
        <item x="586"/>
        <item x="213"/>
        <item x="328"/>
        <item x="344"/>
        <item x="709"/>
        <item x="212"/>
        <item x="407"/>
        <item x="928"/>
        <item x="888"/>
        <item x="309"/>
        <item x="784"/>
        <item x="178"/>
        <item x="284"/>
        <item x="291"/>
        <item x="829"/>
        <item x="803"/>
        <item x="503"/>
        <item x="977"/>
        <item x="842"/>
        <item x="696"/>
        <item x="21"/>
        <item x="927"/>
        <item x="60"/>
        <item x="312"/>
        <item x="380"/>
        <item x="366"/>
        <item x="657"/>
        <item x="46"/>
        <item x="891"/>
        <item x="879"/>
        <item x="509"/>
        <item x="266"/>
        <item x="4"/>
        <item x="853"/>
        <item x="640"/>
        <item x="655"/>
        <item x="583"/>
        <item x="965"/>
        <item x="372"/>
        <item x="455"/>
        <item x="675"/>
        <item x="553"/>
        <item x="968"/>
        <item x="682"/>
        <item x="146"/>
        <item x="673"/>
        <item x="441"/>
        <item x="982"/>
        <item x="184"/>
        <item x="848"/>
        <item x="697"/>
        <item x="897"/>
        <item x="630"/>
        <item x="733"/>
        <item x="529"/>
        <item x="350"/>
        <item x="502"/>
        <item x="374"/>
        <item x="776"/>
        <item x="461"/>
        <item x="973"/>
        <item x="216"/>
        <item x="277"/>
        <item x="556"/>
        <item x="110"/>
        <item x="905"/>
        <item x="487"/>
        <item x="168"/>
        <item x="1"/>
        <item x="420"/>
        <item x="191"/>
        <item x="26"/>
        <item x="555"/>
        <item x="724"/>
        <item x="526"/>
        <item x="430"/>
        <item x="337"/>
        <item x="936"/>
        <item x="760"/>
        <item x="151"/>
        <item x="574"/>
        <item x="860"/>
        <item x="139"/>
        <item x="471"/>
        <item x="573"/>
        <item x="899"/>
        <item x="411"/>
        <item x="520"/>
        <item x="389"/>
        <item x="616"/>
        <item x="684"/>
        <item x="668"/>
        <item x="649"/>
        <item x="836"/>
        <item x="355"/>
        <item x="881"/>
        <item x="582"/>
        <item x="592"/>
        <item x="559"/>
        <item x="24"/>
        <item x="264"/>
        <item x="561"/>
        <item x="453"/>
        <item x="577"/>
        <item x="354"/>
        <item x="949"/>
        <item x="65"/>
        <item x="717"/>
        <item x="711"/>
        <item x="246"/>
        <item x="623"/>
        <item x="926"/>
        <item x="432"/>
        <item x="807"/>
        <item x="749"/>
        <item x="938"/>
        <item x="885"/>
        <item x="242"/>
        <item x="755"/>
        <item x="357"/>
        <item x="766"/>
        <item x="614"/>
        <item x="536"/>
        <item x="150"/>
        <item x="224"/>
        <item x="31"/>
        <item x="91"/>
        <item x="59"/>
        <item x="166"/>
        <item x="254"/>
        <item x="849"/>
        <item x="398"/>
        <item x="377"/>
        <item x="727"/>
        <item x="327"/>
        <item x="56"/>
        <item x="221"/>
        <item x="626"/>
        <item x="126"/>
        <item x="206"/>
        <item x="180"/>
        <item x="127"/>
        <item x="99"/>
        <item x="615"/>
        <item x="392"/>
        <item x="431"/>
        <item x="231"/>
        <item x="404"/>
        <item x="446"/>
        <item x="865"/>
        <item x="906"/>
        <item x="185"/>
        <item x="754"/>
        <item x="737"/>
        <item x="521"/>
        <item x="13"/>
        <item x="654"/>
        <item x="693"/>
        <item x="511"/>
        <item x="479"/>
        <item x="261"/>
        <item x="671"/>
        <item x="826"/>
        <item x="624"/>
        <item x="564"/>
        <item x="9"/>
        <item x="278"/>
        <item x="508"/>
        <item x="942"/>
        <item x="172"/>
        <item x="534"/>
        <item x="394"/>
        <item x="42"/>
        <item x="976"/>
        <item x="280"/>
        <item x="69"/>
        <item x="449"/>
        <item x="492"/>
        <item x="80"/>
        <item x="609"/>
        <item x="845"/>
        <item x="820"/>
        <item x="712"/>
        <item x="719"/>
        <item x="476"/>
        <item x="937"/>
        <item x="423"/>
        <item x="620"/>
        <item x="978"/>
        <item x="625"/>
        <item x="610"/>
        <item x="470"/>
        <item x="144"/>
        <item x="813"/>
        <item x="160"/>
        <item x="253"/>
        <item x="489"/>
        <item x="700"/>
        <item x="985"/>
        <item x="465"/>
        <item x="528"/>
        <item x="251"/>
        <item x="237"/>
        <item x="744"/>
        <item x="991"/>
        <item x="695"/>
        <item x="841"/>
        <item x="462"/>
        <item x="295"/>
        <item x="375"/>
        <item x="953"/>
        <item x="535"/>
        <item x="902"/>
        <item x="225"/>
        <item x="642"/>
        <item x="228"/>
        <item x="203"/>
        <item x="857"/>
        <item x="318"/>
        <item x="925"/>
        <item x="522"/>
        <item x="97"/>
        <item x="996"/>
        <item x="674"/>
        <item x="883"/>
        <item x="972"/>
        <item x="405"/>
        <item x="907"/>
        <item x="265"/>
        <item x="794"/>
        <item x="651"/>
        <item x="106"/>
        <item x="41"/>
        <item x="473"/>
        <item x="804"/>
        <item x="533"/>
        <item x="722"/>
        <item x="73"/>
        <item x="575"/>
        <item x="66"/>
        <item x="28"/>
        <item x="84"/>
        <item x="710"/>
        <item x="971"/>
        <item x="74"/>
        <item x="802"/>
        <item x="159"/>
        <item x="343"/>
        <item x="22"/>
        <item x="279"/>
        <item x="219"/>
        <item x="365"/>
        <item x="919"/>
        <item x="637"/>
        <item x="752"/>
        <item x="852"/>
        <item x="482"/>
        <item x="563"/>
        <item x="887"/>
        <item x="611"/>
        <item x="959"/>
        <item x="51"/>
        <item x="549"/>
        <item x="903"/>
        <item x="324"/>
        <item x="270"/>
        <item x="311"/>
        <item x="90"/>
        <item x="215"/>
        <item x="537"/>
        <item x="399"/>
        <item x="601"/>
        <item x="538"/>
        <item x="660"/>
        <item x="686"/>
        <item x="894"/>
        <item x="500"/>
        <item x="176"/>
        <item x="68"/>
        <item x="98"/>
        <item x="444"/>
        <item x="88"/>
        <item x="788"/>
        <item x="3"/>
        <item x="382"/>
        <item x="735"/>
        <item x="962"/>
        <item x="145"/>
        <item x="638"/>
        <item x="518"/>
        <item x="628"/>
        <item x="161"/>
        <item x="114"/>
        <item x="207"/>
        <item x="322"/>
        <item x="581"/>
        <item x="570"/>
        <item x="249"/>
        <item x="289"/>
        <item x="741"/>
        <item x="134"/>
        <item x="920"/>
        <item x="751"/>
        <item x="286"/>
        <item x="210"/>
        <item x="131"/>
        <item x="273"/>
        <item x="530"/>
        <item x="211"/>
        <item x="685"/>
        <item x="666"/>
        <item x="329"/>
        <item x="217"/>
        <item x="356"/>
        <item x="830"/>
        <item x="767"/>
        <item x="772"/>
        <item x="557"/>
        <item x="95"/>
        <item x="32"/>
        <item x="467"/>
        <item x="236"/>
        <item x="362"/>
        <item x="359"/>
        <item x="634"/>
        <item x="598"/>
        <item x="209"/>
        <item x="896"/>
        <item x="113"/>
        <item x="745"/>
        <item x="689"/>
        <item x="19"/>
        <item x="739"/>
        <item x="970"/>
        <item x="957"/>
        <item x="194"/>
        <item x="107"/>
        <item x="798"/>
        <item x="871"/>
        <item x="239"/>
        <item x="880"/>
        <item x="396"/>
        <item x="488"/>
        <item x="680"/>
        <item x="861"/>
        <item x="763"/>
        <item x="5"/>
        <item x="627"/>
        <item x="531"/>
        <item x="305"/>
        <item x="6"/>
        <item x="507"/>
        <item x="716"/>
        <item x="828"/>
        <item x="137"/>
        <item x="746"/>
        <item x="547"/>
        <item x="608"/>
        <item x="416"/>
        <item x="50"/>
        <item x="862"/>
        <item x="911"/>
        <item x="748"/>
        <item x="345"/>
        <item x="699"/>
        <item x="339"/>
        <item x="663"/>
        <item x="825"/>
        <item x="667"/>
        <item x="590"/>
        <item x="496"/>
        <item x="158"/>
        <item x="152"/>
        <item x="63"/>
        <item x="138"/>
        <item x="560"/>
        <item x="196"/>
        <item x="29"/>
        <item x="595"/>
        <item x="843"/>
        <item t="default"/>
      </items>
    </pivotField>
    <pivotField showAll="0"/>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Profit" fld="12" baseField="0" baseItem="0" numFmtId="165"/>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D6CAB7-110E-4CEA-ABE1-64459BE62E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B19"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showAll="0">
      <items count="5">
        <item x="1"/>
        <item x="2"/>
        <item x="3"/>
        <item x="0"/>
        <item t="default"/>
      </items>
    </pivotField>
    <pivotField showAll="0"/>
    <pivotField numFmtId="44" showAll="0"/>
    <pivotField numFmtId="44" showAll="0"/>
    <pivotField dataField="1" numFmtId="44" showAll="0">
      <items count="1000">
        <item x="728"/>
        <item x="813"/>
        <item x="35"/>
        <item x="595"/>
        <item x="991"/>
        <item x="20"/>
        <item x="655"/>
        <item x="252"/>
        <item x="308"/>
        <item x="354"/>
        <item x="423"/>
        <item x="264"/>
        <item x="846"/>
        <item x="759"/>
        <item x="590"/>
        <item x="736"/>
        <item x="452"/>
        <item x="650"/>
        <item x="102"/>
        <item x="389"/>
        <item x="427"/>
        <item x="201"/>
        <item x="54"/>
        <item x="257"/>
        <item x="156"/>
        <item x="691"/>
        <item x="569"/>
        <item x="690"/>
        <item x="403"/>
        <item x="605"/>
        <item x="40"/>
        <item x="616"/>
        <item x="807"/>
        <item x="661"/>
        <item x="802"/>
        <item x="333"/>
        <item x="58"/>
        <item x="222"/>
        <item x="966"/>
        <item x="210"/>
        <item x="789"/>
        <item x="968"/>
        <item x="891"/>
        <item x="934"/>
        <item x="397"/>
        <item x="985"/>
        <item x="343"/>
        <item x="632"/>
        <item x="829"/>
        <item x="581"/>
        <item x="912"/>
        <item x="125"/>
        <item x="942"/>
        <item x="366"/>
        <item x="781"/>
        <item x="335"/>
        <item x="17"/>
        <item x="177"/>
        <item x="865"/>
        <item x="997"/>
        <item x="920"/>
        <item x="860"/>
        <item x="439"/>
        <item x="127"/>
        <item x="897"/>
        <item x="503"/>
        <item x="693"/>
        <item x="603"/>
        <item x="199"/>
        <item x="145"/>
        <item x="826"/>
        <item x="642"/>
        <item x="956"/>
        <item x="328"/>
        <item x="173"/>
        <item x="306"/>
        <item x="460"/>
        <item x="122"/>
        <item x="83"/>
        <item x="405"/>
        <item x="195"/>
        <item x="841"/>
        <item x="155"/>
        <item x="48"/>
        <item x="296"/>
        <item x="977"/>
        <item x="709"/>
        <item x="327"/>
        <item x="71"/>
        <item x="348"/>
        <item x="319"/>
        <item x="777"/>
        <item x="866"/>
        <item x="704"/>
        <item x="445"/>
        <item x="117"/>
        <item x="302"/>
        <item x="749"/>
        <item x="421"/>
        <item x="573"/>
        <item x="636"/>
        <item x="820"/>
        <item x="428"/>
        <item x="842"/>
        <item x="963"/>
        <item x="250"/>
        <item x="480"/>
        <item x="625"/>
        <item x="758"/>
        <item x="487"/>
        <item x="52"/>
        <item x="976"/>
        <item x="77"/>
        <item x="301"/>
        <item x="918"/>
        <item x="81"/>
        <item x="415"/>
        <item x="668"/>
        <item x="570"/>
        <item x="45"/>
        <item x="179"/>
        <item x="249"/>
        <item x="454"/>
        <item x="675"/>
        <item x="242"/>
        <item x="787"/>
        <item x="94"/>
        <item x="694"/>
        <item x="204"/>
        <item x="283"/>
        <item x="176"/>
        <item x="476"/>
        <item x="684"/>
        <item x="190"/>
        <item x="273"/>
        <item x="578"/>
        <item x="385"/>
        <item x="508"/>
        <item x="621"/>
        <item x="246"/>
        <item x="784"/>
        <item x="53"/>
        <item x="745"/>
        <item x="812"/>
        <item x="371"/>
        <item x="884"/>
        <item x="695"/>
        <item x="556"/>
        <item x="197"/>
        <item x="295"/>
        <item x="814"/>
        <item x="276"/>
        <item x="876"/>
        <item x="47"/>
        <item x="767"/>
        <item x="435"/>
        <item x="225"/>
        <item x="486"/>
        <item x="456"/>
        <item x="393"/>
        <item x="322"/>
        <item x="89"/>
        <item x="982"/>
        <item x="370"/>
        <item x="207"/>
        <item x="76"/>
        <item x="545"/>
        <item x="380"/>
        <item x="780"/>
        <item x="919"/>
        <item x="144"/>
        <item x="593"/>
        <item x="130"/>
        <item x="732"/>
        <item x="601"/>
        <item x="7"/>
        <item x="167"/>
        <item x="132"/>
        <item x="121"/>
        <item x="278"/>
        <item x="740"/>
        <item x="97"/>
        <item x="725"/>
        <item x="915"/>
        <item x="877"/>
        <item x="340"/>
        <item x="848"/>
        <item x="501"/>
        <item x="723"/>
        <item x="33"/>
        <item x="766"/>
        <item x="711"/>
        <item x="902"/>
        <item x="731"/>
        <item x="833"/>
        <item x="411"/>
        <item x="318"/>
        <item x="879"/>
        <item x="949"/>
        <item x="410"/>
        <item x="811"/>
        <item x="164"/>
        <item x="962"/>
        <item x="635"/>
        <item x="858"/>
        <item x="124"/>
        <item x="946"/>
        <item x="375"/>
        <item x="16"/>
        <item x="408"/>
        <item x="779"/>
        <item x="722"/>
        <item x="686"/>
        <item x="315"/>
        <item x="818"/>
        <item x="200"/>
        <item x="941"/>
        <item x="937"/>
        <item x="228"/>
        <item x="664"/>
        <item x="516"/>
        <item x="957"/>
        <item x="785"/>
        <item x="93"/>
        <item x="243"/>
        <item x="312"/>
        <item x="817"/>
        <item x="527"/>
        <item x="131"/>
        <item x="763"/>
        <item x="112"/>
        <item x="189"/>
        <item x="149"/>
        <item x="580"/>
        <item x="755"/>
        <item x="782"/>
        <item x="449"/>
        <item x="258"/>
        <item x="857"/>
        <item x="61"/>
        <item x="870"/>
        <item x="598"/>
        <item x="437"/>
        <item x="459"/>
        <item x="837"/>
        <item x="717"/>
        <item x="101"/>
        <item x="995"/>
        <item x="673"/>
        <item x="792"/>
        <item x="515"/>
        <item x="172"/>
        <item x="952"/>
        <item x="983"/>
        <item x="420"/>
        <item x="75"/>
        <item x="788"/>
        <item x="986"/>
        <item x="416"/>
        <item x="466"/>
        <item x="514"/>
        <item x="568"/>
        <item x="458"/>
        <item x="294"/>
        <item x="325"/>
        <item x="234"/>
        <item x="638"/>
        <item x="18"/>
        <item x="733"/>
        <item x="381"/>
        <item x="338"/>
        <item x="550"/>
        <item x="553"/>
        <item x="92"/>
        <item x="483"/>
        <item x="803"/>
        <item x="447"/>
        <item x="134"/>
        <item x="116"/>
        <item x="834"/>
        <item x="0"/>
        <item x="236"/>
        <item x="203"/>
        <item x="586"/>
        <item x="468"/>
        <item x="589"/>
        <item x="542"/>
        <item x="181"/>
        <item x="126"/>
        <item x="79"/>
        <item x="247"/>
        <item x="499"/>
        <item x="135"/>
        <item x="287"/>
        <item x="534"/>
        <item x="981"/>
        <item x="270"/>
        <item x="231"/>
        <item x="947"/>
        <item x="310"/>
        <item x="665"/>
        <item x="14"/>
        <item x="548"/>
        <item x="118"/>
        <item x="309"/>
        <item x="878"/>
        <item x="30"/>
        <item x="853"/>
        <item x="644"/>
        <item x="771"/>
        <item x="529"/>
        <item x="169"/>
        <item x="808"/>
        <item x="399"/>
        <item x="245"/>
        <item x="525"/>
        <item x="419"/>
        <item x="298"/>
        <item x="798"/>
        <item x="224"/>
        <item x="958"/>
        <item x="544"/>
        <item x="727"/>
        <item x="27"/>
        <item x="971"/>
        <item x="610"/>
        <item x="342"/>
        <item x="373"/>
        <item x="206"/>
        <item x="871"/>
        <item x="192"/>
        <item x="493"/>
        <item x="574"/>
        <item x="552"/>
        <item x="323"/>
        <item x="541"/>
        <item x="8"/>
        <item x="560"/>
        <item x="496"/>
        <item x="911"/>
        <item x="571"/>
        <item x="667"/>
        <item x="647"/>
        <item x="85"/>
        <item x="773"/>
        <item x="202"/>
        <item x="482"/>
        <item x="55"/>
        <item x="730"/>
        <item x="742"/>
        <item x="547"/>
        <item x="849"/>
        <item x="994"/>
        <item x="431"/>
        <item x="943"/>
        <item x="801"/>
        <item x="868"/>
        <item x="260"/>
        <item x="969"/>
        <item x="87"/>
        <item x="852"/>
        <item x="453"/>
        <item x="43"/>
        <item x="705"/>
        <item x="479"/>
        <item x="70"/>
        <item x="143"/>
        <item x="25"/>
        <item x="109"/>
        <item x="372"/>
        <item x="543"/>
        <item x="697"/>
        <item x="567"/>
        <item x="720"/>
        <item x="444"/>
        <item x="254"/>
        <item x="506"/>
        <item x="334"/>
        <item x="185"/>
        <item x="648"/>
        <item x="960"/>
        <item x="316"/>
        <item x="512"/>
        <item x="596"/>
        <item x="856"/>
        <item x="462"/>
        <item x="194"/>
        <item x="892"/>
        <item x="284"/>
        <item x="289"/>
        <item x="923"/>
        <item x="259"/>
        <item x="791"/>
        <item x="404"/>
        <item x="894"/>
        <item x="78"/>
        <item x="824"/>
        <item x="651"/>
        <item x="926"/>
        <item x="772"/>
        <item x="237"/>
        <item x="290"/>
        <item x="438"/>
        <item x="151"/>
        <item x="770"/>
        <item x="395"/>
        <item x="916"/>
        <item x="265"/>
        <item x="166"/>
        <item x="229"/>
        <item x="875"/>
        <item x="988"/>
        <item x="336"/>
        <item x="344"/>
        <item x="34"/>
        <item x="989"/>
        <item x="793"/>
        <item x="465"/>
        <item x="235"/>
        <item x="653"/>
        <item x="794"/>
        <item x="701"/>
        <item x="492"/>
        <item x="450"/>
        <item x="430"/>
        <item x="564"/>
        <item x="760"/>
        <item x="990"/>
        <item x="707"/>
        <item x="681"/>
        <item x="106"/>
        <item x="869"/>
        <item x="387"/>
        <item x="886"/>
        <item x="622"/>
        <item x="461"/>
        <item x="305"/>
        <item x="442"/>
        <item x="183"/>
        <item x="965"/>
        <item x="274"/>
        <item x="861"/>
        <item x="606"/>
        <item x="392"/>
        <item x="840"/>
        <item x="285"/>
        <item x="546"/>
        <item x="299"/>
        <item x="930"/>
        <item x="682"/>
        <item x="624"/>
        <item x="38"/>
        <item x="500"/>
        <item x="23"/>
        <item x="672"/>
        <item x="890"/>
        <item x="382"/>
        <item x="159"/>
        <item x="620"/>
        <item x="708"/>
        <item x="262"/>
        <item x="332"/>
        <item x="591"/>
        <item x="914"/>
        <item x="86"/>
        <item x="646"/>
        <item x="240"/>
        <item x="823"/>
        <item x="402"/>
        <item x="44"/>
        <item x="368"/>
        <item x="712"/>
        <item x="470"/>
        <item x="414"/>
        <item x="979"/>
        <item x="351"/>
        <item x="900"/>
        <item x="582"/>
        <item x="57"/>
        <item x="609"/>
        <item x="893"/>
        <item x="317"/>
        <item x="505"/>
        <item x="157"/>
        <item x="11"/>
        <item x="738"/>
        <item x="39"/>
        <item x="150"/>
        <item x="286"/>
        <item x="188"/>
        <item x="752"/>
        <item x="485"/>
        <item x="378"/>
        <item x="105"/>
        <item x="945"/>
        <item x="321"/>
        <item x="353"/>
        <item x="643"/>
        <item x="330"/>
        <item x="191"/>
        <item x="924"/>
        <item x="554"/>
        <item x="903"/>
        <item x="369"/>
        <item x="457"/>
        <item x="783"/>
        <item x="519"/>
        <item x="992"/>
        <item x="110"/>
        <item x="910"/>
        <item x="855"/>
        <item x="521"/>
        <item x="271"/>
        <item x="417"/>
        <item x="2"/>
        <item x="349"/>
        <item x="844"/>
        <item x="436"/>
        <item x="119"/>
        <item x="658"/>
        <item x="67"/>
        <item x="362"/>
        <item x="383"/>
        <item x="935"/>
        <item x="716"/>
        <item x="662"/>
        <item x="706"/>
        <item x="735"/>
        <item x="62"/>
        <item x="477"/>
        <item x="526"/>
        <item x="12"/>
        <item x="895"/>
        <item x="292"/>
        <item x="279"/>
        <item x="184"/>
        <item x="220"/>
        <item x="786"/>
        <item x="835"/>
        <item x="984"/>
        <item x="954"/>
        <item x="906"/>
        <item x="862"/>
        <item x="699"/>
        <item x="390"/>
        <item x="953"/>
        <item x="497"/>
        <item x="634"/>
        <item x="764"/>
        <item x="412"/>
        <item x="931"/>
        <item x="685"/>
        <item x="473"/>
        <item x="215"/>
        <item x="376"/>
        <item x="180"/>
        <item x="277"/>
        <item x="511"/>
        <item x="495"/>
        <item x="104"/>
        <item x="374"/>
        <item x="36"/>
        <item x="810"/>
        <item x="474"/>
        <item x="158"/>
        <item x="561"/>
        <item x="680"/>
        <item x="64"/>
        <item x="111"/>
        <item x="881"/>
        <item x="936"/>
        <item x="907"/>
        <item x="951"/>
        <item x="925"/>
        <item x="422"/>
        <item x="555"/>
        <item x="799"/>
        <item x="710"/>
        <item x="587"/>
        <item x="60"/>
        <item x="639"/>
        <item x="805"/>
        <item x="314"/>
        <item x="751"/>
        <item x="123"/>
        <item x="171"/>
        <item x="599"/>
        <item x="825"/>
        <item x="917"/>
        <item x="975"/>
        <item x="504"/>
        <item x="726"/>
        <item x="602"/>
        <item x="413"/>
        <item x="734"/>
        <item x="65"/>
        <item x="337"/>
        <item x="424"/>
        <item x="356"/>
        <item x="266"/>
        <item x="588"/>
        <item x="950"/>
        <item x="113"/>
        <item x="838"/>
        <item x="929"/>
        <item x="339"/>
        <item x="426"/>
        <item x="656"/>
        <item x="507"/>
        <item x="594"/>
        <item x="304"/>
        <item x="91"/>
        <item x="696"/>
        <item x="95"/>
        <item x="142"/>
        <item x="948"/>
        <item x="26"/>
        <item x="714"/>
        <item x="678"/>
        <item x="687"/>
        <item x="363"/>
        <item x="633"/>
        <item x="679"/>
        <item x="538"/>
        <item x="575"/>
        <item x="867"/>
        <item x="517"/>
        <item x="138"/>
        <item x="928"/>
        <item x="531"/>
        <item x="887"/>
        <item x="652"/>
        <item x="522"/>
        <item x="809"/>
        <item x="9"/>
        <item x="72"/>
        <item x="626"/>
        <item x="557"/>
        <item x="607"/>
        <item x="406"/>
        <item x="293"/>
        <item x="850"/>
        <item x="448"/>
        <item x="660"/>
        <item x="756"/>
        <item x="269"/>
        <item x="615"/>
        <item x="932"/>
        <item x="233"/>
        <item x="388"/>
        <item x="768"/>
        <item x="619"/>
        <item x="13"/>
        <item x="46"/>
        <item x="152"/>
        <item x="120"/>
        <item x="649"/>
        <item x="836"/>
        <item x="530"/>
        <item x="585"/>
        <item x="15"/>
        <item x="244"/>
        <item x="300"/>
        <item x="350"/>
        <item x="671"/>
        <item x="425"/>
        <item x="174"/>
        <item x="186"/>
        <item x="488"/>
        <item x="821"/>
        <item x="10"/>
        <item x="268"/>
        <item x="42"/>
        <item x="311"/>
        <item x="193"/>
        <item x="513"/>
        <item x="939"/>
        <item x="883"/>
        <item x="357"/>
        <item x="510"/>
        <item x="187"/>
        <item x="218"/>
        <item x="478"/>
        <item x="874"/>
        <item x="795"/>
        <item x="248"/>
        <item x="391"/>
        <item x="489"/>
        <item x="579"/>
        <item x="443"/>
        <item x="227"/>
        <item x="904"/>
        <item x="226"/>
        <item x="451"/>
        <item x="744"/>
        <item x="676"/>
        <item x="37"/>
        <item x="859"/>
        <item x="433"/>
        <item x="645"/>
        <item x="441"/>
        <item x="901"/>
        <item x="129"/>
        <item x="24"/>
        <item x="698"/>
        <item x="536"/>
        <item x="253"/>
        <item x="872"/>
        <item x="776"/>
        <item x="267"/>
        <item x="729"/>
        <item x="467"/>
        <item x="49"/>
        <item x="996"/>
        <item x="472"/>
        <item x="239"/>
        <item x="148"/>
        <item x="703"/>
        <item x="674"/>
        <item x="713"/>
        <item x="352"/>
        <item x="409"/>
        <item x="82"/>
        <item x="282"/>
        <item x="153"/>
        <item x="137"/>
        <item x="162"/>
        <item x="205"/>
        <item x="677"/>
        <item x="379"/>
        <item x="815"/>
        <item x="232"/>
        <item x="993"/>
        <item x="921"/>
        <item x="657"/>
        <item x="851"/>
        <item x="762"/>
        <item x="175"/>
        <item x="839"/>
        <item x="715"/>
        <item x="365"/>
        <item x="345"/>
        <item x="386"/>
        <item x="978"/>
        <item x="933"/>
        <item x="41"/>
        <item x="396"/>
        <item x="329"/>
        <item x="400"/>
        <item x="551"/>
        <item x="974"/>
        <item x="659"/>
        <item x="563"/>
        <item x="230"/>
        <item x="528"/>
        <item x="944"/>
        <item x="217"/>
        <item x="955"/>
        <item x="847"/>
        <item x="828"/>
        <item x="484"/>
        <item x="355"/>
        <item x="885"/>
        <item x="967"/>
        <item x="938"/>
        <item x="74"/>
        <item x="69"/>
        <item x="627"/>
        <item x="103"/>
        <item x="819"/>
        <item x="537"/>
        <item x="796"/>
        <item x="471"/>
        <item x="178"/>
        <item x="313"/>
        <item x="429"/>
        <item x="980"/>
        <item x="831"/>
        <item x="822"/>
        <item x="90"/>
        <item x="216"/>
        <item x="440"/>
        <item x="804"/>
        <item x="394"/>
        <item x="280"/>
        <item x="455"/>
        <item x="618"/>
        <item x="367"/>
        <item x="909"/>
        <item x="761"/>
        <item x="584"/>
        <item x="896"/>
        <item x="540"/>
        <item x="141"/>
        <item x="577"/>
        <item x="320"/>
        <item x="56"/>
        <item x="502"/>
        <item x="608"/>
        <item x="432"/>
        <item x="297"/>
        <item x="970"/>
        <item x="51"/>
        <item x="208"/>
        <item x="360"/>
        <item x="98"/>
        <item x="165"/>
        <item x="147"/>
        <item x="255"/>
        <item x="889"/>
        <item x="816"/>
        <item x="778"/>
        <item x="68"/>
        <item x="629"/>
        <item x="964"/>
        <item x="743"/>
        <item x="737"/>
        <item x="161"/>
        <item x="100"/>
        <item x="583"/>
        <item x="640"/>
        <item x="524"/>
        <item x="617"/>
        <item x="754"/>
        <item x="324"/>
        <item x="401"/>
        <item x="261"/>
        <item x="221"/>
        <item x="520"/>
        <item x="464"/>
        <item x="494"/>
        <item x="133"/>
        <item x="66"/>
        <item x="1"/>
        <item x="223"/>
        <item x="463"/>
        <item x="576"/>
        <item x="88"/>
        <item x="491"/>
        <item x="940"/>
        <item x="303"/>
        <item x="790"/>
        <item x="880"/>
        <item x="212"/>
        <item x="209"/>
        <item x="73"/>
        <item x="613"/>
        <item x="612"/>
        <item x="623"/>
        <item x="288"/>
        <item x="263"/>
        <item x="888"/>
        <item x="558"/>
        <item x="739"/>
        <item x="518"/>
        <item x="107"/>
        <item x="291"/>
        <item x="182"/>
        <item x="168"/>
        <item x="170"/>
        <item x="21"/>
        <item x="532"/>
        <item x="961"/>
        <item x="3"/>
        <item x="359"/>
        <item x="614"/>
        <item x="797"/>
        <item x="641"/>
        <item x="905"/>
        <item x="80"/>
        <item x="475"/>
        <item x="806"/>
        <item x="908"/>
        <item x="128"/>
        <item x="832"/>
        <item x="84"/>
        <item x="523"/>
        <item x="219"/>
        <item x="214"/>
        <item x="757"/>
        <item x="99"/>
        <item x="631"/>
        <item x="434"/>
        <item x="746"/>
        <item x="604"/>
        <item x="59"/>
        <item x="481"/>
        <item x="326"/>
        <item x="769"/>
        <item x="407"/>
        <item x="774"/>
        <item x="628"/>
        <item x="973"/>
        <item x="898"/>
        <item x="238"/>
        <item x="196"/>
        <item x="854"/>
        <item x="256"/>
        <item x="115"/>
        <item x="753"/>
        <item x="4"/>
        <item x="446"/>
        <item x="146"/>
        <item x="800"/>
        <item x="331"/>
        <item x="28"/>
        <item x="5"/>
        <item x="490"/>
        <item x="32"/>
        <item x="346"/>
        <item x="251"/>
        <item x="22"/>
        <item x="572"/>
        <item x="922"/>
        <item x="719"/>
        <item x="700"/>
        <item x="384"/>
        <item x="213"/>
        <item x="398"/>
        <item x="663"/>
        <item x="469"/>
        <item x="899"/>
        <item x="688"/>
        <item x="987"/>
        <item x="741"/>
        <item x="281"/>
        <item x="683"/>
        <item x="830"/>
        <item x="566"/>
        <item x="775"/>
        <item x="358"/>
        <item x="637"/>
        <item x="559"/>
        <item x="108"/>
        <item x="549"/>
        <item x="509"/>
        <item x="600"/>
        <item x="533"/>
        <item x="275"/>
        <item x="418"/>
        <item x="163"/>
        <item x="998"/>
        <item x="377"/>
        <item x="718"/>
        <item x="863"/>
        <item x="724"/>
        <item x="307"/>
        <item x="750"/>
        <item x="361"/>
        <item x="959"/>
        <item x="747"/>
        <item x="654"/>
        <item x="721"/>
        <item x="114"/>
        <item x="6"/>
        <item x="873"/>
        <item x="927"/>
        <item x="669"/>
        <item x="535"/>
        <item x="347"/>
        <item x="539"/>
        <item x="692"/>
        <item x="96"/>
        <item x="827"/>
        <item x="211"/>
        <item x="882"/>
        <item x="19"/>
        <item x="565"/>
        <item x="702"/>
        <item x="864"/>
        <item x="31"/>
        <item x="913"/>
        <item x="972"/>
        <item x="666"/>
        <item x="843"/>
        <item x="136"/>
        <item x="670"/>
        <item x="364"/>
        <item x="50"/>
        <item x="765"/>
        <item x="154"/>
        <item x="241"/>
        <item x="689"/>
        <item x="272"/>
        <item x="748"/>
        <item x="611"/>
        <item x="562"/>
        <item x="140"/>
        <item x="63"/>
        <item x="139"/>
        <item x="341"/>
        <item x="498"/>
        <item x="630"/>
        <item x="160"/>
        <item x="845"/>
        <item x="198"/>
        <item x="592"/>
        <item x="29"/>
        <item x="597"/>
        <item t="default"/>
      </items>
    </pivotField>
    <pivotField numFmtId="165" showAll="0"/>
    <pivotField showAll="0">
      <items count="3">
        <item x="1"/>
        <item x="0"/>
        <item t="default"/>
      </items>
    </pivotField>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3"/>
  </rowFields>
  <rowItems count="7">
    <i>
      <x/>
    </i>
    <i>
      <x v="1"/>
    </i>
    <i>
      <x v="2"/>
    </i>
    <i>
      <x v="3"/>
    </i>
    <i>
      <x v="4"/>
    </i>
    <i>
      <x v="5"/>
    </i>
    <i t="grand">
      <x/>
    </i>
  </rowItems>
  <colItems count="1">
    <i/>
  </colItems>
  <dataFields count="1">
    <dataField name="Sum of Sales Amount" fld="11" baseField="0" baseItem="0" numFmtId="4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FF0ACF1F-77EF-49C0-BA18-222C3F033640}" sourceName="Years (Date)">
  <pivotTables>
    <pivotTable tabId="15" name="PivotTable1"/>
    <pivotTable tabId="15" name="PivotTable14"/>
    <pivotTable tabId="15" name="PivotTable15"/>
    <pivotTable tabId="15" name="PivotTable16"/>
    <pivotTable tabId="15" name="PivotTable2"/>
    <pivotTable tabId="15" name="PivotTable3"/>
    <pivotTable tabId="15" name="PivotTable4"/>
    <pivotTable tabId="15" name="PivotTable9"/>
  </pivotTables>
  <data>
    <tabular pivotCacheId="1616804925">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EFDF7B-1714-4078-9B71-3CF0823EE09C}" sourceName="Region">
  <pivotTables>
    <pivotTable tabId="15" name="PivotTable1"/>
    <pivotTable tabId="15" name="PivotTable14"/>
    <pivotTable tabId="15" name="PivotTable15"/>
    <pivotTable tabId="15" name="PivotTable16"/>
    <pivotTable tabId="15" name="PivotTable2"/>
    <pivotTable tabId="15" name="PivotTable3"/>
    <pivotTable tabId="15" name="PivotTable4"/>
    <pivotTable tabId="15" name="PivotTable9"/>
  </pivotTables>
  <data>
    <tabular pivotCacheId="1616804925">
      <items count="6">
        <i x="1" s="1"/>
        <i x="0" s="1"/>
        <i x="5"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BED7B11-0620-4910-8CBD-DA08A1B4E99E}" sourceName="Product">
  <pivotTables>
    <pivotTable tabId="15" name="PivotTable1"/>
    <pivotTable tabId="15" name="PivotTable14"/>
    <pivotTable tabId="15" name="PivotTable15"/>
    <pivotTable tabId="15" name="PivotTable16"/>
    <pivotTable tabId="15" name="PivotTable2"/>
    <pivotTable tabId="15" name="PivotTable3"/>
    <pivotTable tabId="15" name="PivotTable4"/>
    <pivotTable tabId="15" name="PivotTable9"/>
  </pivotTables>
  <data>
    <tabular pivotCacheId="1616804925">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5906B92-8B2E-42A0-8E0C-D67596E8BB9B}" sourceName="Payment Mode">
  <pivotTables>
    <pivotTable tabId="15" name="PivotTable1"/>
    <pivotTable tabId="15" name="PivotTable14"/>
    <pivotTable tabId="15" name="PivotTable15"/>
    <pivotTable tabId="15" name="PivotTable16"/>
    <pivotTable tabId="15" name="PivotTable2"/>
    <pivotTable tabId="15" name="PivotTable3"/>
    <pivotTable tabId="15" name="PivotTable4"/>
    <pivotTable tabId="15" name="PivotTable9"/>
  </pivotTables>
  <data>
    <tabular pivotCacheId="161680492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AEF634EB-AFF8-490F-A0E4-301626A9FBB6}" cache="Slicer_Years__Date" caption="Years (Date)" style="Slicer Style 2" rowHeight="234950"/>
  <slicer name="Region" xr10:uid="{61F53D63-DF82-4AD0-A975-ADC1A6F5C960}" cache="Slicer_Region" caption="Region" style="Slicer Style 2" rowHeight="234950"/>
  <slicer name="Product" xr10:uid="{266C4CED-1DE5-4281-A79D-B1AE507BEBD6}" cache="Slicer_Product" caption="Product" style="Slicer Style 2" rowHeight="234950"/>
  <slicer name="Payment Mode" xr10:uid="{8DCC8572-91FB-458C-8B62-031D61E108FF}" cache="Slicer_Payment_Mode" caption="Payment Mode"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09D3-C708-4821-8822-D86FDEB32360}">
  <dimension ref="A1:Y1001"/>
  <sheetViews>
    <sheetView zoomScale="85" zoomScaleNormal="85" workbookViewId="0">
      <selection activeCell="P16" sqref="P16"/>
    </sheetView>
  </sheetViews>
  <sheetFormatPr defaultRowHeight="14.4" x14ac:dyDescent="0.3"/>
  <cols>
    <col min="1" max="1" width="8.6640625" bestFit="1" customWidth="1"/>
    <col min="2" max="3" width="14.88671875" bestFit="1" customWidth="1"/>
    <col min="4" max="4" width="11.6640625" bestFit="1" customWidth="1"/>
    <col min="5" max="5" width="20.88671875" customWidth="1"/>
    <col min="6" max="6" width="14.6640625" customWidth="1"/>
    <col min="7" max="7" width="15.21875" bestFit="1" customWidth="1"/>
    <col min="8" max="8" width="11" bestFit="1" customWidth="1"/>
    <col min="9" max="9" width="8.21875" bestFit="1" customWidth="1"/>
    <col min="10" max="10" width="18.109375" style="24" bestFit="1" customWidth="1"/>
    <col min="11" max="11" width="14" bestFit="1" customWidth="1"/>
    <col min="12" max="15" width="13.44140625" bestFit="1" customWidth="1"/>
    <col min="16" max="16" width="11.5546875" bestFit="1" customWidth="1"/>
    <col min="17" max="17" width="21.109375" bestFit="1" customWidth="1"/>
    <col min="18" max="18" width="10.21875" bestFit="1" customWidth="1"/>
    <col min="19" max="19" width="18.44140625" bestFit="1" customWidth="1"/>
    <col min="20" max="20" width="19.88671875" bestFit="1" customWidth="1"/>
    <col min="21" max="21" width="15.6640625" bestFit="1" customWidth="1"/>
  </cols>
  <sheetData>
    <row r="1" spans="1:25" x14ac:dyDescent="0.3">
      <c r="A1" t="s">
        <v>79</v>
      </c>
      <c r="B1" t="s">
        <v>1341</v>
      </c>
      <c r="C1" t="s">
        <v>69</v>
      </c>
      <c r="D1" t="s">
        <v>70</v>
      </c>
      <c r="E1" t="s">
        <v>55</v>
      </c>
      <c r="F1" t="s">
        <v>1257</v>
      </c>
      <c r="G1" t="s">
        <v>68</v>
      </c>
      <c r="H1" t="s">
        <v>50</v>
      </c>
      <c r="I1" t="s">
        <v>61</v>
      </c>
      <c r="J1" s="24" t="s">
        <v>1342</v>
      </c>
      <c r="K1" t="s">
        <v>1336</v>
      </c>
      <c r="L1" s="2" t="s">
        <v>67</v>
      </c>
      <c r="M1" t="s">
        <v>62</v>
      </c>
      <c r="N1" t="s">
        <v>80</v>
      </c>
      <c r="O1" t="s">
        <v>66</v>
      </c>
    </row>
    <row r="2" spans="1:25" x14ac:dyDescent="0.3">
      <c r="A2" t="s">
        <v>0</v>
      </c>
      <c r="B2" s="1">
        <v>45293</v>
      </c>
      <c r="C2" t="s">
        <v>1040</v>
      </c>
      <c r="D2" t="s">
        <v>71</v>
      </c>
      <c r="E2" t="s">
        <v>1240</v>
      </c>
      <c r="F2" t="s">
        <v>1258</v>
      </c>
      <c r="G2" t="s">
        <v>60</v>
      </c>
      <c r="H2" t="s">
        <v>51</v>
      </c>
      <c r="I2">
        <v>4</v>
      </c>
      <c r="J2" s="24">
        <v>162</v>
      </c>
      <c r="K2" s="24">
        <f>J2*I2</f>
        <v>648</v>
      </c>
      <c r="L2" s="25">
        <v>757.87</v>
      </c>
      <c r="M2" s="2">
        <f>L2-K2</f>
        <v>109.87</v>
      </c>
      <c r="N2" t="str" cm="1">
        <f t="array" ref="N2:N1001">IF(L2:L1001&gt;2000,"High","Low")</f>
        <v>Low</v>
      </c>
      <c r="O2" t="s">
        <v>63</v>
      </c>
    </row>
    <row r="3" spans="1:25" x14ac:dyDescent="0.3">
      <c r="A3" t="s">
        <v>1</v>
      </c>
      <c r="B3" s="1">
        <v>45294</v>
      </c>
      <c r="C3" t="s">
        <v>1041</v>
      </c>
      <c r="D3" t="s">
        <v>71</v>
      </c>
      <c r="E3" t="s">
        <v>1241</v>
      </c>
      <c r="F3" t="s">
        <v>57</v>
      </c>
      <c r="G3" t="s">
        <v>60</v>
      </c>
      <c r="H3" t="s">
        <v>52</v>
      </c>
      <c r="I3">
        <v>8</v>
      </c>
      <c r="J3" s="24">
        <v>362.93</v>
      </c>
      <c r="K3" s="24">
        <f t="shared" ref="K3:K66" si="0">J3*I3</f>
        <v>2903.44</v>
      </c>
      <c r="L3" s="24">
        <v>3439.63</v>
      </c>
      <c r="M3" s="2">
        <f t="shared" ref="M3:M66" si="1">L3-K3</f>
        <v>536.19000000000005</v>
      </c>
      <c r="N3" t="str">
        <v>High</v>
      </c>
      <c r="O3" t="s">
        <v>64</v>
      </c>
    </row>
    <row r="4" spans="1:25" x14ac:dyDescent="0.3">
      <c r="A4" t="s">
        <v>2</v>
      </c>
      <c r="B4" s="1">
        <v>45295</v>
      </c>
      <c r="C4" t="s">
        <v>1042</v>
      </c>
      <c r="D4" t="s">
        <v>72</v>
      </c>
      <c r="E4" t="s">
        <v>1242</v>
      </c>
      <c r="F4" t="s">
        <v>1259</v>
      </c>
      <c r="G4" t="s">
        <v>60</v>
      </c>
      <c r="H4" t="s">
        <v>53</v>
      </c>
      <c r="I4">
        <v>3</v>
      </c>
      <c r="J4" s="24">
        <v>424.77</v>
      </c>
      <c r="K4" s="24">
        <f t="shared" si="0"/>
        <v>1274.31</v>
      </c>
      <c r="L4" s="24">
        <v>1577.15</v>
      </c>
      <c r="M4" s="2">
        <f t="shared" si="1"/>
        <v>302.84000000000015</v>
      </c>
      <c r="N4" t="str">
        <v>Low</v>
      </c>
      <c r="O4" t="s">
        <v>64</v>
      </c>
    </row>
    <row r="5" spans="1:25" x14ac:dyDescent="0.3">
      <c r="A5" t="s">
        <v>3</v>
      </c>
      <c r="B5" s="1">
        <v>45296</v>
      </c>
      <c r="C5" t="s">
        <v>1043</v>
      </c>
      <c r="D5" t="s">
        <v>71</v>
      </c>
      <c r="E5" t="s">
        <v>1240</v>
      </c>
      <c r="F5" t="s">
        <v>1260</v>
      </c>
      <c r="G5" t="s">
        <v>60</v>
      </c>
      <c r="H5" t="s">
        <v>51</v>
      </c>
      <c r="I5">
        <v>8</v>
      </c>
      <c r="J5" s="24">
        <v>326.62</v>
      </c>
      <c r="K5" s="24">
        <f t="shared" si="0"/>
        <v>2612.96</v>
      </c>
      <c r="L5" s="24">
        <v>3634.92</v>
      </c>
      <c r="M5" s="2">
        <f t="shared" si="1"/>
        <v>1021.96</v>
      </c>
      <c r="N5" t="str">
        <v>High</v>
      </c>
      <c r="O5" t="s">
        <v>63</v>
      </c>
    </row>
    <row r="6" spans="1:25" x14ac:dyDescent="0.3">
      <c r="A6" t="s">
        <v>4</v>
      </c>
      <c r="B6" s="1">
        <v>45297</v>
      </c>
      <c r="C6" t="s">
        <v>1044</v>
      </c>
      <c r="D6" t="s">
        <v>73</v>
      </c>
      <c r="E6" t="s">
        <v>1243</v>
      </c>
      <c r="F6" t="s">
        <v>1261</v>
      </c>
      <c r="G6" t="s">
        <v>60</v>
      </c>
      <c r="H6" t="s">
        <v>53</v>
      </c>
      <c r="I6">
        <v>10</v>
      </c>
      <c r="J6" s="24">
        <v>367.76</v>
      </c>
      <c r="K6" s="24">
        <f t="shared" si="0"/>
        <v>3677.6</v>
      </c>
      <c r="L6" s="24">
        <v>4155.22</v>
      </c>
      <c r="M6" s="2">
        <f t="shared" si="1"/>
        <v>477.62000000000035</v>
      </c>
      <c r="N6" t="str">
        <v>High</v>
      </c>
      <c r="O6" t="s">
        <v>64</v>
      </c>
    </row>
    <row r="7" spans="1:25" x14ac:dyDescent="0.3">
      <c r="A7" t="s">
        <v>5</v>
      </c>
      <c r="B7" s="1">
        <v>45298</v>
      </c>
      <c r="C7" t="s">
        <v>1045</v>
      </c>
      <c r="D7" t="s">
        <v>1255</v>
      </c>
      <c r="E7" t="s">
        <v>59</v>
      </c>
      <c r="F7" t="s">
        <v>1262</v>
      </c>
      <c r="G7" t="s">
        <v>60</v>
      </c>
      <c r="H7" t="s">
        <v>54</v>
      </c>
      <c r="I7">
        <v>7</v>
      </c>
      <c r="J7" s="24">
        <v>409.03</v>
      </c>
      <c r="K7" s="24">
        <f t="shared" si="0"/>
        <v>2863.21</v>
      </c>
      <c r="L7" s="24">
        <v>4274.21</v>
      </c>
      <c r="M7" s="2">
        <f t="shared" si="1"/>
        <v>1411</v>
      </c>
      <c r="N7" t="str">
        <v>High</v>
      </c>
      <c r="O7" t="s">
        <v>64</v>
      </c>
    </row>
    <row r="8" spans="1:25" x14ac:dyDescent="0.3">
      <c r="A8" t="s">
        <v>6</v>
      </c>
      <c r="B8" s="1">
        <v>45299</v>
      </c>
      <c r="C8" t="s">
        <v>1046</v>
      </c>
      <c r="D8" t="s">
        <v>74</v>
      </c>
      <c r="E8" t="s">
        <v>1244</v>
      </c>
      <c r="F8" t="s">
        <v>58</v>
      </c>
      <c r="G8" t="s">
        <v>60</v>
      </c>
      <c r="H8" t="s">
        <v>54</v>
      </c>
      <c r="I8">
        <v>10</v>
      </c>
      <c r="J8" s="24">
        <v>368.99</v>
      </c>
      <c r="K8" s="24">
        <f t="shared" si="0"/>
        <v>3689.9</v>
      </c>
      <c r="L8" s="24">
        <v>5125.5600000000004</v>
      </c>
      <c r="M8" s="2">
        <f t="shared" si="1"/>
        <v>1435.6600000000003</v>
      </c>
      <c r="N8" t="str">
        <v>High</v>
      </c>
      <c r="O8" t="s">
        <v>63</v>
      </c>
      <c r="Q8" s="23"/>
      <c r="R8" s="23"/>
      <c r="S8" s="23"/>
      <c r="T8" s="23"/>
      <c r="U8" s="23"/>
      <c r="V8" s="23"/>
      <c r="W8" s="23"/>
      <c r="X8" s="23"/>
      <c r="Y8" s="23"/>
    </row>
    <row r="9" spans="1:25" x14ac:dyDescent="0.3">
      <c r="A9" t="s">
        <v>7</v>
      </c>
      <c r="B9" s="1">
        <v>45300</v>
      </c>
      <c r="C9" t="s">
        <v>1047</v>
      </c>
      <c r="D9" t="s">
        <v>72</v>
      </c>
      <c r="E9" t="s">
        <v>1245</v>
      </c>
      <c r="F9" t="s">
        <v>1263</v>
      </c>
      <c r="G9" t="s">
        <v>60</v>
      </c>
      <c r="H9" t="s">
        <v>51</v>
      </c>
      <c r="I9">
        <v>1</v>
      </c>
      <c r="J9" s="24">
        <v>426.59</v>
      </c>
      <c r="K9" s="24">
        <f t="shared" si="0"/>
        <v>426.59</v>
      </c>
      <c r="L9" s="24">
        <v>481.05</v>
      </c>
      <c r="M9" s="2">
        <f t="shared" si="1"/>
        <v>54.460000000000036</v>
      </c>
      <c r="N9" t="str">
        <v>Low</v>
      </c>
      <c r="O9" t="s">
        <v>63</v>
      </c>
    </row>
    <row r="10" spans="1:25" x14ac:dyDescent="0.3">
      <c r="A10" t="s">
        <v>8</v>
      </c>
      <c r="B10" s="1">
        <v>45301</v>
      </c>
      <c r="C10" t="s">
        <v>1048</v>
      </c>
      <c r="D10" t="s">
        <v>74</v>
      </c>
      <c r="E10" t="s">
        <v>1244</v>
      </c>
      <c r="F10" t="s">
        <v>1264</v>
      </c>
      <c r="G10" t="s">
        <v>60</v>
      </c>
      <c r="H10" t="s">
        <v>52</v>
      </c>
      <c r="I10">
        <v>9</v>
      </c>
      <c r="J10" s="24">
        <v>91.86</v>
      </c>
      <c r="K10" s="24">
        <f t="shared" si="0"/>
        <v>826.74</v>
      </c>
      <c r="L10" s="24">
        <v>941.24</v>
      </c>
      <c r="M10" s="2">
        <f t="shared" si="1"/>
        <v>114.5</v>
      </c>
      <c r="N10" t="str">
        <v>Low</v>
      </c>
      <c r="O10" t="s">
        <v>64</v>
      </c>
    </row>
    <row r="11" spans="1:25" x14ac:dyDescent="0.3">
      <c r="A11" t="s">
        <v>9</v>
      </c>
      <c r="B11" s="1">
        <v>45302</v>
      </c>
      <c r="C11" t="s">
        <v>1049</v>
      </c>
      <c r="D11" t="s">
        <v>72</v>
      </c>
      <c r="E11" t="s">
        <v>1245</v>
      </c>
      <c r="F11" t="s">
        <v>1265</v>
      </c>
      <c r="G11" t="s">
        <v>60</v>
      </c>
      <c r="H11" t="s">
        <v>51</v>
      </c>
      <c r="I11">
        <v>6</v>
      </c>
      <c r="J11" s="24">
        <v>248.87</v>
      </c>
      <c r="K11" s="24">
        <f t="shared" si="0"/>
        <v>1493.22</v>
      </c>
      <c r="L11" s="24">
        <v>2161.96</v>
      </c>
      <c r="M11" s="2">
        <f t="shared" si="1"/>
        <v>668.74</v>
      </c>
      <c r="N11" t="str">
        <v>High</v>
      </c>
      <c r="O11" t="s">
        <v>65</v>
      </c>
    </row>
    <row r="12" spans="1:25" x14ac:dyDescent="0.3">
      <c r="A12" t="s">
        <v>10</v>
      </c>
      <c r="B12" s="1">
        <v>45303</v>
      </c>
      <c r="C12" t="s">
        <v>1050</v>
      </c>
      <c r="D12" t="s">
        <v>1255</v>
      </c>
      <c r="E12" t="s">
        <v>59</v>
      </c>
      <c r="F12" t="s">
        <v>1266</v>
      </c>
      <c r="G12" t="s">
        <v>60</v>
      </c>
      <c r="H12" t="s">
        <v>52</v>
      </c>
      <c r="I12">
        <v>8</v>
      </c>
      <c r="J12" s="24">
        <v>242.76</v>
      </c>
      <c r="K12" s="24">
        <f t="shared" si="0"/>
        <v>1942.08</v>
      </c>
      <c r="L12" s="24">
        <v>2301.16</v>
      </c>
      <c r="M12" s="2">
        <f t="shared" si="1"/>
        <v>359.07999999999993</v>
      </c>
      <c r="N12" t="str">
        <v>High</v>
      </c>
      <c r="O12" t="s">
        <v>63</v>
      </c>
    </row>
    <row r="13" spans="1:25" x14ac:dyDescent="0.3">
      <c r="A13" t="s">
        <v>11</v>
      </c>
      <c r="B13" s="1">
        <v>45304</v>
      </c>
      <c r="C13" t="s">
        <v>1051</v>
      </c>
      <c r="D13" t="s">
        <v>72</v>
      </c>
      <c r="E13" t="s">
        <v>1246</v>
      </c>
      <c r="F13" t="s">
        <v>1267</v>
      </c>
      <c r="G13" t="s">
        <v>60</v>
      </c>
      <c r="H13" t="s">
        <v>51</v>
      </c>
      <c r="I13">
        <v>7</v>
      </c>
      <c r="J13" s="24">
        <v>171.73</v>
      </c>
      <c r="K13" s="24">
        <f t="shared" si="0"/>
        <v>1202.1099999999999</v>
      </c>
      <c r="L13" s="24">
        <v>1471.92</v>
      </c>
      <c r="M13" s="2">
        <f t="shared" si="1"/>
        <v>269.81000000000017</v>
      </c>
      <c r="N13" t="str">
        <v>Low</v>
      </c>
      <c r="O13" t="s">
        <v>63</v>
      </c>
    </row>
    <row r="14" spans="1:25" x14ac:dyDescent="0.3">
      <c r="A14" t="s">
        <v>12</v>
      </c>
      <c r="B14" s="1">
        <v>45305</v>
      </c>
      <c r="C14" t="s">
        <v>1052</v>
      </c>
      <c r="D14" t="s">
        <v>71</v>
      </c>
      <c r="E14" t="s">
        <v>1241</v>
      </c>
      <c r="F14" t="s">
        <v>56</v>
      </c>
      <c r="G14" t="s">
        <v>60</v>
      </c>
      <c r="H14" t="s">
        <v>51</v>
      </c>
      <c r="I14">
        <v>4</v>
      </c>
      <c r="J14" s="24">
        <v>359.8</v>
      </c>
      <c r="K14" s="24">
        <f t="shared" si="0"/>
        <v>1439.2</v>
      </c>
      <c r="L14" s="24">
        <v>1645.82</v>
      </c>
      <c r="M14" s="2">
        <f t="shared" si="1"/>
        <v>206.61999999999989</v>
      </c>
      <c r="N14" t="str">
        <v>Low</v>
      </c>
      <c r="O14" t="s">
        <v>64</v>
      </c>
    </row>
    <row r="15" spans="1:25" x14ac:dyDescent="0.3">
      <c r="A15" t="s">
        <v>13</v>
      </c>
      <c r="B15" s="1">
        <v>45306</v>
      </c>
      <c r="C15" t="s">
        <v>1053</v>
      </c>
      <c r="D15" t="s">
        <v>74</v>
      </c>
      <c r="E15" t="s">
        <v>1247</v>
      </c>
      <c r="F15" t="s">
        <v>1268</v>
      </c>
      <c r="G15" t="s">
        <v>60</v>
      </c>
      <c r="H15" t="s">
        <v>52</v>
      </c>
      <c r="I15">
        <v>10</v>
      </c>
      <c r="J15" s="24">
        <v>159.25</v>
      </c>
      <c r="K15" s="24">
        <f t="shared" si="0"/>
        <v>1592.5</v>
      </c>
      <c r="L15" s="24">
        <v>2253.39</v>
      </c>
      <c r="M15" s="2">
        <f t="shared" si="1"/>
        <v>660.88999999999987</v>
      </c>
      <c r="N15" t="str">
        <v>High</v>
      </c>
      <c r="O15" t="s">
        <v>65</v>
      </c>
    </row>
    <row r="16" spans="1:25" x14ac:dyDescent="0.3">
      <c r="A16" t="s">
        <v>14</v>
      </c>
      <c r="B16" s="1">
        <v>45307</v>
      </c>
      <c r="C16" t="s">
        <v>1054</v>
      </c>
      <c r="D16" t="s">
        <v>71</v>
      </c>
      <c r="E16" t="s">
        <v>1248</v>
      </c>
      <c r="F16" t="s">
        <v>1269</v>
      </c>
      <c r="G16" t="s">
        <v>60</v>
      </c>
      <c r="H16" t="s">
        <v>54</v>
      </c>
      <c r="I16">
        <v>5</v>
      </c>
      <c r="J16" s="24">
        <v>131.36000000000001</v>
      </c>
      <c r="K16" s="24">
        <f t="shared" si="0"/>
        <v>656.80000000000007</v>
      </c>
      <c r="L16" s="24">
        <v>826.61</v>
      </c>
      <c r="M16" s="2">
        <f t="shared" si="1"/>
        <v>169.80999999999995</v>
      </c>
      <c r="N16" t="str">
        <v>Low</v>
      </c>
      <c r="O16" t="s">
        <v>63</v>
      </c>
    </row>
    <row r="17" spans="1:15" x14ac:dyDescent="0.3">
      <c r="A17" t="s">
        <v>15</v>
      </c>
      <c r="B17" s="1">
        <v>45308</v>
      </c>
      <c r="C17" t="s">
        <v>1055</v>
      </c>
      <c r="D17" t="s">
        <v>74</v>
      </c>
      <c r="E17" t="s">
        <v>1249</v>
      </c>
      <c r="F17" t="s">
        <v>1270</v>
      </c>
      <c r="G17" t="s">
        <v>60</v>
      </c>
      <c r="H17" t="s">
        <v>53</v>
      </c>
      <c r="I17">
        <v>5</v>
      </c>
      <c r="J17" s="24">
        <v>388.56</v>
      </c>
      <c r="K17" s="24">
        <f t="shared" si="0"/>
        <v>1942.8</v>
      </c>
      <c r="L17" s="24">
        <v>2272.2399999999998</v>
      </c>
      <c r="M17" s="2">
        <f t="shared" si="1"/>
        <v>329.43999999999983</v>
      </c>
      <c r="N17" t="str">
        <v>High</v>
      </c>
      <c r="O17" t="s">
        <v>65</v>
      </c>
    </row>
    <row r="18" spans="1:15" x14ac:dyDescent="0.3">
      <c r="A18" t="s">
        <v>16</v>
      </c>
      <c r="B18" s="1">
        <v>45309</v>
      </c>
      <c r="C18" t="s">
        <v>1056</v>
      </c>
      <c r="D18" t="s">
        <v>71</v>
      </c>
      <c r="E18" t="s">
        <v>1248</v>
      </c>
      <c r="F18" t="s">
        <v>1271</v>
      </c>
      <c r="G18" t="s">
        <v>60</v>
      </c>
      <c r="H18" t="s">
        <v>53</v>
      </c>
      <c r="I18">
        <v>1</v>
      </c>
      <c r="J18" s="24">
        <v>378.24</v>
      </c>
      <c r="K18" s="24">
        <f t="shared" si="0"/>
        <v>378.24</v>
      </c>
      <c r="L18" s="24">
        <v>550.20000000000005</v>
      </c>
      <c r="M18" s="2">
        <f t="shared" si="1"/>
        <v>171.96000000000004</v>
      </c>
      <c r="N18" t="str">
        <v>Low</v>
      </c>
      <c r="O18" t="s">
        <v>64</v>
      </c>
    </row>
    <row r="19" spans="1:15" x14ac:dyDescent="0.3">
      <c r="A19" t="s">
        <v>17</v>
      </c>
      <c r="B19" s="1">
        <v>45310</v>
      </c>
      <c r="C19" t="s">
        <v>1057</v>
      </c>
      <c r="D19" t="s">
        <v>73</v>
      </c>
      <c r="E19" t="s">
        <v>1243</v>
      </c>
      <c r="F19" t="s">
        <v>1272</v>
      </c>
      <c r="G19" t="s">
        <v>60</v>
      </c>
      <c r="H19" t="s">
        <v>53</v>
      </c>
      <c r="I19">
        <v>1</v>
      </c>
      <c r="J19" s="24">
        <v>202.45</v>
      </c>
      <c r="K19" s="24">
        <f t="shared" si="0"/>
        <v>202.45</v>
      </c>
      <c r="L19" s="24">
        <v>227.29</v>
      </c>
      <c r="M19" s="2">
        <f t="shared" si="1"/>
        <v>24.840000000000003</v>
      </c>
      <c r="N19" t="str">
        <v>Low</v>
      </c>
      <c r="O19" t="s">
        <v>64</v>
      </c>
    </row>
    <row r="20" spans="1:15" x14ac:dyDescent="0.3">
      <c r="A20" t="s">
        <v>18</v>
      </c>
      <c r="B20" s="1">
        <v>45311</v>
      </c>
      <c r="C20" t="s">
        <v>1058</v>
      </c>
      <c r="D20" t="s">
        <v>71</v>
      </c>
      <c r="E20" t="s">
        <v>1240</v>
      </c>
      <c r="F20" t="s">
        <v>1273</v>
      </c>
      <c r="G20" t="s">
        <v>60</v>
      </c>
      <c r="H20" t="s">
        <v>51</v>
      </c>
      <c r="I20">
        <v>1</v>
      </c>
      <c r="J20" s="24">
        <v>499.23</v>
      </c>
      <c r="K20" s="24">
        <f t="shared" si="0"/>
        <v>499.23</v>
      </c>
      <c r="L20" s="24">
        <v>689.97</v>
      </c>
      <c r="M20" s="2">
        <f t="shared" si="1"/>
        <v>190.74</v>
      </c>
      <c r="N20" t="str">
        <v>Low</v>
      </c>
      <c r="O20" t="s">
        <v>65</v>
      </c>
    </row>
    <row r="21" spans="1:15" x14ac:dyDescent="0.3">
      <c r="A21" t="s">
        <v>19</v>
      </c>
      <c r="B21" s="1">
        <v>45312</v>
      </c>
      <c r="C21" t="s">
        <v>1059</v>
      </c>
      <c r="D21" t="s">
        <v>73</v>
      </c>
      <c r="E21" t="s">
        <v>1250</v>
      </c>
      <c r="F21" t="s">
        <v>1274</v>
      </c>
      <c r="G21" t="s">
        <v>60</v>
      </c>
      <c r="H21" t="s">
        <v>52</v>
      </c>
      <c r="I21">
        <v>10</v>
      </c>
      <c r="J21" s="24">
        <v>400.18</v>
      </c>
      <c r="K21" s="24">
        <f t="shared" si="0"/>
        <v>4001.8</v>
      </c>
      <c r="L21" s="24">
        <v>5329.71</v>
      </c>
      <c r="M21" s="2">
        <f t="shared" si="1"/>
        <v>1327.9099999999999</v>
      </c>
      <c r="N21" t="str">
        <v>High</v>
      </c>
      <c r="O21" t="s">
        <v>64</v>
      </c>
    </row>
    <row r="22" spans="1:15" x14ac:dyDescent="0.3">
      <c r="A22" t="s">
        <v>20</v>
      </c>
      <c r="B22" s="1">
        <v>45313</v>
      </c>
      <c r="C22" t="s">
        <v>1060</v>
      </c>
      <c r="D22" t="s">
        <v>71</v>
      </c>
      <c r="E22" t="s">
        <v>1241</v>
      </c>
      <c r="F22" t="s">
        <v>56</v>
      </c>
      <c r="G22" t="s">
        <v>60</v>
      </c>
      <c r="H22" t="s">
        <v>52</v>
      </c>
      <c r="I22">
        <v>1</v>
      </c>
      <c r="J22" s="24">
        <v>40.590000000000003</v>
      </c>
      <c r="K22" s="24">
        <f t="shared" si="0"/>
        <v>40.590000000000003</v>
      </c>
      <c r="L22" s="24">
        <v>59.35</v>
      </c>
      <c r="M22" s="2">
        <f t="shared" si="1"/>
        <v>18.759999999999998</v>
      </c>
      <c r="N22" t="str">
        <v>Low</v>
      </c>
      <c r="O22" t="s">
        <v>63</v>
      </c>
    </row>
    <row r="23" spans="1:15" x14ac:dyDescent="0.3">
      <c r="A23" t="s">
        <v>21</v>
      </c>
      <c r="B23" s="1">
        <v>45314</v>
      </c>
      <c r="C23" t="s">
        <v>1061</v>
      </c>
      <c r="D23" t="s">
        <v>72</v>
      </c>
      <c r="E23" t="s">
        <v>1246</v>
      </c>
      <c r="F23" t="s">
        <v>1267</v>
      </c>
      <c r="G23" t="s">
        <v>60</v>
      </c>
      <c r="H23" t="s">
        <v>52</v>
      </c>
      <c r="I23">
        <v>7</v>
      </c>
      <c r="J23" s="24">
        <v>450.66</v>
      </c>
      <c r="K23" s="24">
        <f t="shared" si="0"/>
        <v>3154.6200000000003</v>
      </c>
      <c r="L23" s="24">
        <v>3615.63</v>
      </c>
      <c r="M23" s="2">
        <f t="shared" si="1"/>
        <v>461.00999999999976</v>
      </c>
      <c r="N23" t="str">
        <v>High</v>
      </c>
      <c r="O23" t="s">
        <v>63</v>
      </c>
    </row>
    <row r="24" spans="1:15" x14ac:dyDescent="0.3">
      <c r="A24" t="s">
        <v>22</v>
      </c>
      <c r="B24" s="1">
        <v>45315</v>
      </c>
      <c r="C24" t="s">
        <v>1062</v>
      </c>
      <c r="D24" t="s">
        <v>71</v>
      </c>
      <c r="E24" t="s">
        <v>1240</v>
      </c>
      <c r="F24" t="s">
        <v>1275</v>
      </c>
      <c r="G24" t="s">
        <v>60</v>
      </c>
      <c r="H24" t="s">
        <v>52</v>
      </c>
      <c r="I24">
        <v>9</v>
      </c>
      <c r="J24" s="24">
        <v>390.9</v>
      </c>
      <c r="K24" s="24">
        <f t="shared" si="0"/>
        <v>3518.1</v>
      </c>
      <c r="L24" s="24">
        <v>4367.18</v>
      </c>
      <c r="M24" s="2">
        <f t="shared" si="1"/>
        <v>849.08000000000038</v>
      </c>
      <c r="N24" t="str">
        <v>High</v>
      </c>
      <c r="O24" t="s">
        <v>65</v>
      </c>
    </row>
    <row r="25" spans="1:15" x14ac:dyDescent="0.3">
      <c r="A25" t="s">
        <v>23</v>
      </c>
      <c r="B25" s="1">
        <v>45316</v>
      </c>
      <c r="C25" t="s">
        <v>1063</v>
      </c>
      <c r="D25" t="s">
        <v>73</v>
      </c>
      <c r="E25" t="s">
        <v>1243</v>
      </c>
      <c r="F25" t="s">
        <v>1261</v>
      </c>
      <c r="G25" t="s">
        <v>60</v>
      </c>
      <c r="H25" t="s">
        <v>53</v>
      </c>
      <c r="I25">
        <v>8</v>
      </c>
      <c r="J25" s="24">
        <v>146.72999999999999</v>
      </c>
      <c r="K25" s="24">
        <f t="shared" si="0"/>
        <v>1173.8399999999999</v>
      </c>
      <c r="L25" s="24">
        <v>1392.71</v>
      </c>
      <c r="M25" s="2">
        <f t="shared" si="1"/>
        <v>218.87000000000012</v>
      </c>
      <c r="N25" t="str">
        <v>Low</v>
      </c>
      <c r="O25" t="s">
        <v>64</v>
      </c>
    </row>
    <row r="26" spans="1:15" x14ac:dyDescent="0.3">
      <c r="A26" t="s">
        <v>24</v>
      </c>
      <c r="B26" s="1">
        <v>45317</v>
      </c>
      <c r="C26" t="s">
        <v>1064</v>
      </c>
      <c r="D26" t="s">
        <v>71</v>
      </c>
      <c r="E26" t="s">
        <v>1251</v>
      </c>
      <c r="F26" t="s">
        <v>1276</v>
      </c>
      <c r="G26" t="s">
        <v>60</v>
      </c>
      <c r="H26" t="s">
        <v>52</v>
      </c>
      <c r="I26">
        <v>5</v>
      </c>
      <c r="J26" s="24">
        <v>382.72</v>
      </c>
      <c r="K26" s="24">
        <f t="shared" si="0"/>
        <v>1913.6000000000001</v>
      </c>
      <c r="L26" s="24">
        <v>2487.1</v>
      </c>
      <c r="M26" s="2">
        <f t="shared" si="1"/>
        <v>573.49999999999977</v>
      </c>
      <c r="N26" t="str">
        <v>High</v>
      </c>
      <c r="O26" t="s">
        <v>65</v>
      </c>
    </row>
    <row r="27" spans="1:15" x14ac:dyDescent="0.3">
      <c r="A27" t="s">
        <v>25</v>
      </c>
      <c r="B27" s="1">
        <v>45318</v>
      </c>
      <c r="C27" t="s">
        <v>1065</v>
      </c>
      <c r="D27" t="s">
        <v>73</v>
      </c>
      <c r="E27" t="s">
        <v>1250</v>
      </c>
      <c r="F27" t="s">
        <v>1274</v>
      </c>
      <c r="G27" t="s">
        <v>60</v>
      </c>
      <c r="H27" t="s">
        <v>54</v>
      </c>
      <c r="I27">
        <v>4</v>
      </c>
      <c r="J27" s="24">
        <v>200.6</v>
      </c>
      <c r="K27" s="24">
        <f t="shared" si="0"/>
        <v>802.4</v>
      </c>
      <c r="L27" s="24">
        <v>1101.1500000000001</v>
      </c>
      <c r="M27" s="2">
        <f t="shared" si="1"/>
        <v>298.75000000000011</v>
      </c>
      <c r="N27" t="str">
        <v>Low</v>
      </c>
      <c r="O27" t="s">
        <v>63</v>
      </c>
    </row>
    <row r="28" spans="1:15" x14ac:dyDescent="0.3">
      <c r="A28" t="s">
        <v>26</v>
      </c>
      <c r="B28" s="1">
        <v>45319</v>
      </c>
      <c r="C28" t="s">
        <v>1066</v>
      </c>
      <c r="D28" t="s">
        <v>72</v>
      </c>
      <c r="E28" t="s">
        <v>1245</v>
      </c>
      <c r="F28" t="s">
        <v>1277</v>
      </c>
      <c r="G28" t="s">
        <v>60</v>
      </c>
      <c r="H28" t="s">
        <v>51</v>
      </c>
      <c r="I28">
        <v>7</v>
      </c>
      <c r="J28" s="24">
        <v>220.26</v>
      </c>
      <c r="K28" s="24">
        <f t="shared" si="0"/>
        <v>1541.82</v>
      </c>
      <c r="L28" s="24">
        <v>2079.87</v>
      </c>
      <c r="M28" s="2">
        <f t="shared" si="1"/>
        <v>538.04999999999995</v>
      </c>
      <c r="N28" t="str">
        <v>High</v>
      </c>
      <c r="O28" t="s">
        <v>64</v>
      </c>
    </row>
    <row r="29" spans="1:15" x14ac:dyDescent="0.3">
      <c r="A29" t="s">
        <v>27</v>
      </c>
      <c r="B29" s="1">
        <v>45320</v>
      </c>
      <c r="C29" t="s">
        <v>1067</v>
      </c>
      <c r="D29" t="s">
        <v>73</v>
      </c>
      <c r="E29" t="s">
        <v>1252</v>
      </c>
      <c r="F29" t="s">
        <v>1278</v>
      </c>
      <c r="G29" t="s">
        <v>60</v>
      </c>
      <c r="H29" t="s">
        <v>54</v>
      </c>
      <c r="I29">
        <v>2</v>
      </c>
      <c r="J29" s="24">
        <v>309.29000000000002</v>
      </c>
      <c r="K29" s="24">
        <f t="shared" si="0"/>
        <v>618.58000000000004</v>
      </c>
      <c r="L29" s="24">
        <v>906.13</v>
      </c>
      <c r="M29" s="2">
        <f t="shared" si="1"/>
        <v>287.54999999999995</v>
      </c>
      <c r="N29" t="str">
        <v>Low</v>
      </c>
      <c r="O29" t="s">
        <v>63</v>
      </c>
    </row>
    <row r="30" spans="1:15" x14ac:dyDescent="0.3">
      <c r="A30" t="s">
        <v>28</v>
      </c>
      <c r="B30" s="1">
        <v>45321</v>
      </c>
      <c r="C30" t="s">
        <v>1068</v>
      </c>
      <c r="D30" t="s">
        <v>71</v>
      </c>
      <c r="E30" t="s">
        <v>1251</v>
      </c>
      <c r="F30" t="s">
        <v>1279</v>
      </c>
      <c r="G30" t="s">
        <v>60</v>
      </c>
      <c r="H30" t="s">
        <v>52</v>
      </c>
      <c r="I30">
        <v>9</v>
      </c>
      <c r="J30" s="24">
        <v>378.73</v>
      </c>
      <c r="K30" s="24">
        <f t="shared" si="0"/>
        <v>3408.57</v>
      </c>
      <c r="L30" s="24">
        <v>4240.0600000000004</v>
      </c>
      <c r="M30" s="2">
        <f t="shared" si="1"/>
        <v>831.49000000000024</v>
      </c>
      <c r="N30" t="str">
        <v>High</v>
      </c>
      <c r="O30" t="s">
        <v>64</v>
      </c>
    </row>
    <row r="31" spans="1:15" x14ac:dyDescent="0.3">
      <c r="A31" t="s">
        <v>29</v>
      </c>
      <c r="B31" s="1">
        <v>45322</v>
      </c>
      <c r="C31" t="s">
        <v>1069</v>
      </c>
      <c r="D31" t="s">
        <v>72</v>
      </c>
      <c r="E31" t="s">
        <v>1242</v>
      </c>
      <c r="F31" t="s">
        <v>1280</v>
      </c>
      <c r="G31" t="s">
        <v>60</v>
      </c>
      <c r="H31" t="s">
        <v>51</v>
      </c>
      <c r="I31">
        <v>10</v>
      </c>
      <c r="J31" s="24">
        <v>494.27</v>
      </c>
      <c r="K31" s="24">
        <f t="shared" si="0"/>
        <v>4942.7</v>
      </c>
      <c r="L31" s="24">
        <v>6986.19</v>
      </c>
      <c r="M31" s="2">
        <f t="shared" si="1"/>
        <v>2043.4899999999998</v>
      </c>
      <c r="N31" t="str">
        <v>High</v>
      </c>
      <c r="O31" t="s">
        <v>65</v>
      </c>
    </row>
    <row r="32" spans="1:15" x14ac:dyDescent="0.3">
      <c r="A32" t="s">
        <v>30</v>
      </c>
      <c r="B32" s="1">
        <v>45323</v>
      </c>
      <c r="C32" t="s">
        <v>1040</v>
      </c>
      <c r="D32" t="s">
        <v>72</v>
      </c>
      <c r="E32" t="s">
        <v>1253</v>
      </c>
      <c r="F32" t="s">
        <v>1281</v>
      </c>
      <c r="G32" t="s">
        <v>60</v>
      </c>
      <c r="H32" t="s">
        <v>54</v>
      </c>
      <c r="I32">
        <v>2</v>
      </c>
      <c r="J32" s="24">
        <v>367.78</v>
      </c>
      <c r="K32" s="24">
        <f t="shared" si="0"/>
        <v>735.56</v>
      </c>
      <c r="L32" s="24">
        <v>844.11</v>
      </c>
      <c r="M32" s="2">
        <f t="shared" si="1"/>
        <v>108.55000000000007</v>
      </c>
      <c r="N32" t="str">
        <v>Low</v>
      </c>
      <c r="O32" t="s">
        <v>64</v>
      </c>
    </row>
    <row r="33" spans="1:15" x14ac:dyDescent="0.3">
      <c r="A33" t="s">
        <v>31</v>
      </c>
      <c r="B33" s="1">
        <v>45324</v>
      </c>
      <c r="C33" t="s">
        <v>1070</v>
      </c>
      <c r="D33" t="s">
        <v>72</v>
      </c>
      <c r="E33" t="s">
        <v>1246</v>
      </c>
      <c r="F33" t="s">
        <v>1282</v>
      </c>
      <c r="G33" t="s">
        <v>60</v>
      </c>
      <c r="H33" t="s">
        <v>53</v>
      </c>
      <c r="I33">
        <v>10</v>
      </c>
      <c r="J33" s="24">
        <v>477.22</v>
      </c>
      <c r="K33" s="24">
        <f t="shared" si="0"/>
        <v>4772.2000000000007</v>
      </c>
      <c r="L33" s="24">
        <v>5386.5</v>
      </c>
      <c r="M33" s="2">
        <f t="shared" si="1"/>
        <v>614.29999999999927</v>
      </c>
      <c r="N33" t="str">
        <v>High</v>
      </c>
      <c r="O33" t="s">
        <v>63</v>
      </c>
    </row>
    <row r="34" spans="1:15" x14ac:dyDescent="0.3">
      <c r="A34" t="s">
        <v>32</v>
      </c>
      <c r="B34" s="1">
        <v>45325</v>
      </c>
      <c r="C34" t="s">
        <v>1071</v>
      </c>
      <c r="D34" t="s">
        <v>74</v>
      </c>
      <c r="E34" t="s">
        <v>1247</v>
      </c>
      <c r="F34" t="s">
        <v>1283</v>
      </c>
      <c r="G34" t="s">
        <v>60</v>
      </c>
      <c r="H34" t="s">
        <v>51</v>
      </c>
      <c r="I34">
        <v>7</v>
      </c>
      <c r="J34" s="24">
        <v>435.07</v>
      </c>
      <c r="K34" s="24">
        <f t="shared" si="0"/>
        <v>3045.49</v>
      </c>
      <c r="L34" s="24">
        <v>4287.99</v>
      </c>
      <c r="M34" s="2">
        <f t="shared" si="1"/>
        <v>1242.5</v>
      </c>
      <c r="N34" t="str">
        <v>High</v>
      </c>
      <c r="O34" t="s">
        <v>65</v>
      </c>
    </row>
    <row r="35" spans="1:15" x14ac:dyDescent="0.3">
      <c r="A35" t="s">
        <v>33</v>
      </c>
      <c r="B35" s="1">
        <v>45326</v>
      </c>
      <c r="C35" t="s">
        <v>1072</v>
      </c>
      <c r="D35" t="s">
        <v>73</v>
      </c>
      <c r="E35" t="s">
        <v>1250</v>
      </c>
      <c r="F35" t="s">
        <v>1284</v>
      </c>
      <c r="G35" t="s">
        <v>60</v>
      </c>
      <c r="H35" t="s">
        <v>53</v>
      </c>
      <c r="I35">
        <v>1</v>
      </c>
      <c r="J35" s="24">
        <v>381.76</v>
      </c>
      <c r="K35" s="24">
        <f t="shared" si="0"/>
        <v>381.76</v>
      </c>
      <c r="L35" s="24">
        <v>514.67999999999995</v>
      </c>
      <c r="M35" s="2">
        <f t="shared" si="1"/>
        <v>132.91999999999996</v>
      </c>
      <c r="N35" t="str">
        <v>Low</v>
      </c>
      <c r="O35" t="s">
        <v>65</v>
      </c>
    </row>
    <row r="36" spans="1:15" x14ac:dyDescent="0.3">
      <c r="A36" t="s">
        <v>34</v>
      </c>
      <c r="B36" s="1">
        <v>45327</v>
      </c>
      <c r="C36" t="s">
        <v>1073</v>
      </c>
      <c r="D36" t="s">
        <v>71</v>
      </c>
      <c r="E36" t="s">
        <v>1241</v>
      </c>
      <c r="F36" t="s">
        <v>56</v>
      </c>
      <c r="G36" t="s">
        <v>60</v>
      </c>
      <c r="H36" t="s">
        <v>51</v>
      </c>
      <c r="I36">
        <v>2</v>
      </c>
      <c r="J36" s="24">
        <v>416.31</v>
      </c>
      <c r="K36" s="24">
        <f t="shared" si="0"/>
        <v>832.62</v>
      </c>
      <c r="L36" s="24">
        <v>1228.03</v>
      </c>
      <c r="M36" s="2">
        <f t="shared" si="1"/>
        <v>395.40999999999997</v>
      </c>
      <c r="N36" t="str">
        <v>Low</v>
      </c>
      <c r="O36" t="s">
        <v>64</v>
      </c>
    </row>
    <row r="37" spans="1:15" x14ac:dyDescent="0.3">
      <c r="A37" t="s">
        <v>35</v>
      </c>
      <c r="B37" s="1">
        <v>45328</v>
      </c>
      <c r="C37" t="s">
        <v>1074</v>
      </c>
      <c r="D37" t="s">
        <v>74</v>
      </c>
      <c r="E37" t="s">
        <v>1247</v>
      </c>
      <c r="F37" t="s">
        <v>1285</v>
      </c>
      <c r="G37" t="s">
        <v>60</v>
      </c>
      <c r="H37" t="s">
        <v>51</v>
      </c>
      <c r="I37">
        <v>1</v>
      </c>
      <c r="J37" s="24">
        <v>32.880000000000003</v>
      </c>
      <c r="K37" s="24">
        <f t="shared" si="0"/>
        <v>32.880000000000003</v>
      </c>
      <c r="L37" s="24">
        <v>39.5</v>
      </c>
      <c r="M37" s="2">
        <f t="shared" si="1"/>
        <v>6.6199999999999974</v>
      </c>
      <c r="N37" t="str">
        <v>Low</v>
      </c>
      <c r="O37" t="s">
        <v>63</v>
      </c>
    </row>
    <row r="38" spans="1:15" x14ac:dyDescent="0.3">
      <c r="A38" t="s">
        <v>36</v>
      </c>
      <c r="B38" s="1">
        <v>45329</v>
      </c>
      <c r="C38" t="s">
        <v>1075</v>
      </c>
      <c r="D38" t="s">
        <v>72</v>
      </c>
      <c r="E38" t="s">
        <v>1242</v>
      </c>
      <c r="F38" t="s">
        <v>1259</v>
      </c>
      <c r="G38" t="s">
        <v>60</v>
      </c>
      <c r="H38" t="s">
        <v>54</v>
      </c>
      <c r="I38">
        <v>3</v>
      </c>
      <c r="J38" s="24">
        <v>455.9</v>
      </c>
      <c r="K38" s="24">
        <f t="shared" si="0"/>
        <v>1367.6999999999998</v>
      </c>
      <c r="L38" s="24">
        <v>1768.37</v>
      </c>
      <c r="M38" s="2">
        <f t="shared" si="1"/>
        <v>400.67000000000007</v>
      </c>
      <c r="N38" t="str">
        <v>Low</v>
      </c>
      <c r="O38" t="s">
        <v>64</v>
      </c>
    </row>
    <row r="39" spans="1:15" x14ac:dyDescent="0.3">
      <c r="A39" t="s">
        <v>37</v>
      </c>
      <c r="B39" s="1">
        <v>45330</v>
      </c>
      <c r="C39" t="s">
        <v>1076</v>
      </c>
      <c r="D39" t="s">
        <v>72</v>
      </c>
      <c r="E39" t="s">
        <v>1246</v>
      </c>
      <c r="F39" t="s">
        <v>1286</v>
      </c>
      <c r="G39" t="s">
        <v>60</v>
      </c>
      <c r="H39" t="s">
        <v>53</v>
      </c>
      <c r="I39">
        <v>9</v>
      </c>
      <c r="J39" s="24">
        <v>246.39</v>
      </c>
      <c r="K39" s="24">
        <f t="shared" si="0"/>
        <v>2217.5099999999998</v>
      </c>
      <c r="L39" s="24">
        <v>2439.64</v>
      </c>
      <c r="M39" s="2">
        <f t="shared" si="1"/>
        <v>222.13000000000011</v>
      </c>
      <c r="N39" t="str">
        <v>High</v>
      </c>
      <c r="O39" t="s">
        <v>63</v>
      </c>
    </row>
    <row r="40" spans="1:15" x14ac:dyDescent="0.3">
      <c r="A40" t="s">
        <v>38</v>
      </c>
      <c r="B40" s="1">
        <v>45331</v>
      </c>
      <c r="C40" t="s">
        <v>1077</v>
      </c>
      <c r="D40" t="s">
        <v>71</v>
      </c>
      <c r="E40" t="s">
        <v>1241</v>
      </c>
      <c r="F40" t="s">
        <v>1287</v>
      </c>
      <c r="G40" t="s">
        <v>60</v>
      </c>
      <c r="H40" t="s">
        <v>54</v>
      </c>
      <c r="I40">
        <v>8</v>
      </c>
      <c r="J40" s="24">
        <v>132.69999999999999</v>
      </c>
      <c r="K40" s="24">
        <f t="shared" si="0"/>
        <v>1061.5999999999999</v>
      </c>
      <c r="L40" s="24">
        <v>1382.04</v>
      </c>
      <c r="M40" s="2">
        <f t="shared" si="1"/>
        <v>320.44000000000005</v>
      </c>
      <c r="N40" t="str">
        <v>Low</v>
      </c>
      <c r="O40" t="s">
        <v>64</v>
      </c>
    </row>
    <row r="41" spans="1:15" x14ac:dyDescent="0.3">
      <c r="A41" t="s">
        <v>39</v>
      </c>
      <c r="B41" s="1">
        <v>45332</v>
      </c>
      <c r="C41" t="s">
        <v>1078</v>
      </c>
      <c r="D41" t="s">
        <v>72</v>
      </c>
      <c r="E41" t="s">
        <v>1242</v>
      </c>
      <c r="F41" t="s">
        <v>1288</v>
      </c>
      <c r="G41" t="s">
        <v>60</v>
      </c>
      <c r="H41" t="s">
        <v>54</v>
      </c>
      <c r="I41">
        <v>3</v>
      </c>
      <c r="J41" s="24">
        <v>396.86</v>
      </c>
      <c r="K41" s="24">
        <f t="shared" si="0"/>
        <v>1190.58</v>
      </c>
      <c r="L41" s="24">
        <v>1472.57</v>
      </c>
      <c r="M41" s="2">
        <f t="shared" si="1"/>
        <v>281.99</v>
      </c>
      <c r="N41" t="str">
        <v>Low</v>
      </c>
      <c r="O41" t="s">
        <v>65</v>
      </c>
    </row>
    <row r="42" spans="1:15" x14ac:dyDescent="0.3">
      <c r="A42" t="s">
        <v>40</v>
      </c>
      <c r="B42" s="1">
        <v>45333</v>
      </c>
      <c r="C42" t="s">
        <v>1079</v>
      </c>
      <c r="D42" t="s">
        <v>73</v>
      </c>
      <c r="E42" t="s">
        <v>1252</v>
      </c>
      <c r="F42" t="s">
        <v>1278</v>
      </c>
      <c r="G42" t="s">
        <v>60</v>
      </c>
      <c r="H42" t="s">
        <v>54</v>
      </c>
      <c r="I42">
        <v>2</v>
      </c>
      <c r="J42" s="24">
        <v>49.04</v>
      </c>
      <c r="K42" s="24">
        <f t="shared" si="0"/>
        <v>98.08</v>
      </c>
      <c r="L42" s="24">
        <v>141.51</v>
      </c>
      <c r="M42" s="2">
        <f t="shared" si="1"/>
        <v>43.429999999999993</v>
      </c>
      <c r="N42" t="str">
        <v>Low</v>
      </c>
      <c r="O42" t="s">
        <v>65</v>
      </c>
    </row>
    <row r="43" spans="1:15" x14ac:dyDescent="0.3">
      <c r="A43" t="s">
        <v>41</v>
      </c>
      <c r="B43" s="1">
        <v>45334</v>
      </c>
      <c r="C43" t="s">
        <v>1080</v>
      </c>
      <c r="D43" t="s">
        <v>73</v>
      </c>
      <c r="E43" t="s">
        <v>1252</v>
      </c>
      <c r="F43" t="s">
        <v>1289</v>
      </c>
      <c r="G43" t="s">
        <v>60</v>
      </c>
      <c r="H43" t="s">
        <v>51</v>
      </c>
      <c r="I43">
        <v>7</v>
      </c>
      <c r="J43" s="24">
        <v>279.74</v>
      </c>
      <c r="K43" s="24">
        <f t="shared" si="0"/>
        <v>1958.18</v>
      </c>
      <c r="L43" s="24">
        <v>2775.36</v>
      </c>
      <c r="M43" s="2">
        <f t="shared" si="1"/>
        <v>817.18000000000006</v>
      </c>
      <c r="N43" t="str">
        <v>High</v>
      </c>
      <c r="O43" t="s">
        <v>63</v>
      </c>
    </row>
    <row r="44" spans="1:15" x14ac:dyDescent="0.3">
      <c r="A44" t="s">
        <v>42</v>
      </c>
      <c r="B44" s="1">
        <v>45335</v>
      </c>
      <c r="C44" t="s">
        <v>1046</v>
      </c>
      <c r="D44" t="s">
        <v>72</v>
      </c>
      <c r="E44" t="s">
        <v>1253</v>
      </c>
      <c r="F44" t="s">
        <v>1281</v>
      </c>
      <c r="G44" t="s">
        <v>60</v>
      </c>
      <c r="H44" t="s">
        <v>52</v>
      </c>
      <c r="I44">
        <v>6</v>
      </c>
      <c r="J44" s="24">
        <v>270.42</v>
      </c>
      <c r="K44" s="24">
        <f t="shared" si="0"/>
        <v>1622.52</v>
      </c>
      <c r="L44" s="24">
        <v>2305.71</v>
      </c>
      <c r="M44" s="2">
        <f t="shared" si="1"/>
        <v>683.19</v>
      </c>
      <c r="N44" t="str">
        <v>High</v>
      </c>
      <c r="O44" t="s">
        <v>63</v>
      </c>
    </row>
    <row r="45" spans="1:15" x14ac:dyDescent="0.3">
      <c r="A45" t="s">
        <v>43</v>
      </c>
      <c r="B45" s="1">
        <v>45336</v>
      </c>
      <c r="C45" t="s">
        <v>1081</v>
      </c>
      <c r="D45" t="s">
        <v>73</v>
      </c>
      <c r="E45" t="s">
        <v>1243</v>
      </c>
      <c r="F45" t="s">
        <v>1290</v>
      </c>
      <c r="G45" t="s">
        <v>60</v>
      </c>
      <c r="H45" t="s">
        <v>52</v>
      </c>
      <c r="I45">
        <v>4</v>
      </c>
      <c r="J45" s="24">
        <v>195.02</v>
      </c>
      <c r="K45" s="24">
        <f t="shared" si="0"/>
        <v>780.08</v>
      </c>
      <c r="L45" s="24">
        <v>1081.93</v>
      </c>
      <c r="M45" s="2">
        <f t="shared" si="1"/>
        <v>301.85000000000002</v>
      </c>
      <c r="N45" t="str">
        <v>Low</v>
      </c>
      <c r="O45" t="s">
        <v>65</v>
      </c>
    </row>
    <row r="46" spans="1:15" x14ac:dyDescent="0.3">
      <c r="A46" t="s">
        <v>44</v>
      </c>
      <c r="B46" s="1">
        <v>45337</v>
      </c>
      <c r="C46" t="s">
        <v>1040</v>
      </c>
      <c r="D46" t="s">
        <v>71</v>
      </c>
      <c r="E46" t="s">
        <v>1248</v>
      </c>
      <c r="F46" t="s">
        <v>1291</v>
      </c>
      <c r="G46" t="s">
        <v>60</v>
      </c>
      <c r="H46" t="s">
        <v>53</v>
      </c>
      <c r="I46">
        <v>7</v>
      </c>
      <c r="J46" s="24">
        <v>145.47999999999999</v>
      </c>
      <c r="K46" s="24">
        <f t="shared" si="0"/>
        <v>1018.3599999999999</v>
      </c>
      <c r="L46" s="24">
        <v>1434.35</v>
      </c>
      <c r="M46" s="2">
        <f t="shared" si="1"/>
        <v>415.99</v>
      </c>
      <c r="N46" t="str">
        <v>Low</v>
      </c>
      <c r="O46" t="s">
        <v>64</v>
      </c>
    </row>
    <row r="47" spans="1:15" x14ac:dyDescent="0.3">
      <c r="A47" t="s">
        <v>45</v>
      </c>
      <c r="B47" s="1">
        <v>45338</v>
      </c>
      <c r="C47" t="s">
        <v>1082</v>
      </c>
      <c r="D47" t="s">
        <v>71</v>
      </c>
      <c r="E47" t="s">
        <v>1254</v>
      </c>
      <c r="F47" t="s">
        <v>1292</v>
      </c>
      <c r="G47" t="s">
        <v>60</v>
      </c>
      <c r="H47" t="s">
        <v>52</v>
      </c>
      <c r="I47">
        <v>2</v>
      </c>
      <c r="J47" s="24">
        <v>144.80000000000001</v>
      </c>
      <c r="K47" s="24">
        <f t="shared" si="0"/>
        <v>289.60000000000002</v>
      </c>
      <c r="L47" s="24">
        <v>359.64</v>
      </c>
      <c r="M47" s="2">
        <f t="shared" si="1"/>
        <v>70.039999999999964</v>
      </c>
      <c r="N47" t="str">
        <v>Low</v>
      </c>
      <c r="O47" t="s">
        <v>64</v>
      </c>
    </row>
    <row r="48" spans="1:15" x14ac:dyDescent="0.3">
      <c r="A48" t="s">
        <v>46</v>
      </c>
      <c r="B48" s="1">
        <v>45339</v>
      </c>
      <c r="C48" t="s">
        <v>1083</v>
      </c>
      <c r="D48" t="s">
        <v>72</v>
      </c>
      <c r="E48" t="s">
        <v>1246</v>
      </c>
      <c r="F48" t="s">
        <v>1293</v>
      </c>
      <c r="G48" t="s">
        <v>60</v>
      </c>
      <c r="H48" t="s">
        <v>53</v>
      </c>
      <c r="I48">
        <v>8</v>
      </c>
      <c r="J48" s="24">
        <v>223.35</v>
      </c>
      <c r="K48" s="24">
        <f t="shared" si="0"/>
        <v>1786.8</v>
      </c>
      <c r="L48" s="24">
        <v>2255.65</v>
      </c>
      <c r="M48" s="2">
        <f t="shared" si="1"/>
        <v>468.85000000000014</v>
      </c>
      <c r="N48" t="str">
        <v>High</v>
      </c>
      <c r="O48" t="s">
        <v>63</v>
      </c>
    </row>
    <row r="49" spans="1:15" x14ac:dyDescent="0.3">
      <c r="A49" t="s">
        <v>47</v>
      </c>
      <c r="B49" s="1">
        <v>45340</v>
      </c>
      <c r="C49" t="s">
        <v>1084</v>
      </c>
      <c r="D49" t="s">
        <v>71</v>
      </c>
      <c r="E49" t="s">
        <v>1241</v>
      </c>
      <c r="F49" t="s">
        <v>57</v>
      </c>
      <c r="G49" t="s">
        <v>60</v>
      </c>
      <c r="H49" t="s">
        <v>51</v>
      </c>
      <c r="I49">
        <v>5</v>
      </c>
      <c r="J49" s="24">
        <v>65.239999999999995</v>
      </c>
      <c r="K49" s="24">
        <f t="shared" si="0"/>
        <v>326.2</v>
      </c>
      <c r="L49" s="24">
        <v>419.87</v>
      </c>
      <c r="M49" s="2">
        <f t="shared" si="1"/>
        <v>93.670000000000016</v>
      </c>
      <c r="N49" t="str">
        <v>Low</v>
      </c>
      <c r="O49" t="s">
        <v>63</v>
      </c>
    </row>
    <row r="50" spans="1:15" x14ac:dyDescent="0.3">
      <c r="A50" t="s">
        <v>48</v>
      </c>
      <c r="B50" s="1">
        <v>45341</v>
      </c>
      <c r="C50" t="s">
        <v>1085</v>
      </c>
      <c r="D50" t="s">
        <v>72</v>
      </c>
      <c r="E50" t="s">
        <v>1242</v>
      </c>
      <c r="F50" t="s">
        <v>1294</v>
      </c>
      <c r="G50" t="s">
        <v>60</v>
      </c>
      <c r="H50" t="s">
        <v>52</v>
      </c>
      <c r="I50">
        <v>1</v>
      </c>
      <c r="J50" s="24">
        <v>245.91</v>
      </c>
      <c r="K50" s="24">
        <f t="shared" si="0"/>
        <v>245.91</v>
      </c>
      <c r="L50" s="24">
        <v>282.77</v>
      </c>
      <c r="M50" s="2">
        <f t="shared" si="1"/>
        <v>36.859999999999985</v>
      </c>
      <c r="N50" t="str">
        <v>Low</v>
      </c>
      <c r="O50" t="s">
        <v>64</v>
      </c>
    </row>
    <row r="51" spans="1:15" x14ac:dyDescent="0.3">
      <c r="A51" t="s">
        <v>49</v>
      </c>
      <c r="B51" s="1">
        <v>45342</v>
      </c>
      <c r="C51" t="s">
        <v>1082</v>
      </c>
      <c r="D51" t="s">
        <v>71</v>
      </c>
      <c r="E51" t="s">
        <v>1241</v>
      </c>
      <c r="F51" t="s">
        <v>1287</v>
      </c>
      <c r="G51" t="s">
        <v>60</v>
      </c>
      <c r="H51" t="s">
        <v>54</v>
      </c>
      <c r="I51">
        <v>8</v>
      </c>
      <c r="J51" s="24">
        <v>263.58</v>
      </c>
      <c r="K51" s="24">
        <f t="shared" si="0"/>
        <v>2108.64</v>
      </c>
      <c r="L51" s="24">
        <v>2540.4</v>
      </c>
      <c r="M51" s="2">
        <f t="shared" si="1"/>
        <v>431.76000000000022</v>
      </c>
      <c r="N51" t="str">
        <v>High</v>
      </c>
      <c r="O51" t="s">
        <v>64</v>
      </c>
    </row>
    <row r="52" spans="1:15" x14ac:dyDescent="0.3">
      <c r="A52" t="s">
        <v>90</v>
      </c>
      <c r="B52" s="1">
        <v>45343</v>
      </c>
      <c r="C52" t="s">
        <v>1086</v>
      </c>
      <c r="D52" t="s">
        <v>1255</v>
      </c>
      <c r="E52" t="s">
        <v>59</v>
      </c>
      <c r="F52" t="s">
        <v>1295</v>
      </c>
      <c r="G52" t="s">
        <v>60</v>
      </c>
      <c r="H52" t="s">
        <v>51</v>
      </c>
      <c r="I52">
        <v>8</v>
      </c>
      <c r="J52" s="24">
        <v>494.32</v>
      </c>
      <c r="K52" s="24">
        <f t="shared" si="0"/>
        <v>3954.56</v>
      </c>
      <c r="L52" s="24">
        <v>5529.18</v>
      </c>
      <c r="M52" s="2">
        <f t="shared" si="1"/>
        <v>1574.6200000000003</v>
      </c>
      <c r="N52" t="str">
        <v>High</v>
      </c>
      <c r="O52" t="s">
        <v>65</v>
      </c>
    </row>
    <row r="53" spans="1:15" x14ac:dyDescent="0.3">
      <c r="A53" t="s">
        <v>91</v>
      </c>
      <c r="B53" s="1">
        <v>45344</v>
      </c>
      <c r="C53" t="s">
        <v>1049</v>
      </c>
      <c r="D53" t="s">
        <v>72</v>
      </c>
      <c r="E53" t="s">
        <v>1253</v>
      </c>
      <c r="F53" t="s">
        <v>1281</v>
      </c>
      <c r="G53" t="s">
        <v>60</v>
      </c>
      <c r="H53" t="s">
        <v>51</v>
      </c>
      <c r="I53">
        <v>10</v>
      </c>
      <c r="J53" s="24">
        <v>227.07</v>
      </c>
      <c r="K53" s="24">
        <f t="shared" si="0"/>
        <v>2270.6999999999998</v>
      </c>
      <c r="L53" s="24">
        <v>3189.98</v>
      </c>
      <c r="M53" s="2">
        <f t="shared" si="1"/>
        <v>919.2800000000002</v>
      </c>
      <c r="N53" t="str">
        <v>High</v>
      </c>
      <c r="O53" t="s">
        <v>63</v>
      </c>
    </row>
    <row r="54" spans="1:15" x14ac:dyDescent="0.3">
      <c r="A54" t="s">
        <v>92</v>
      </c>
      <c r="B54" s="1">
        <v>45345</v>
      </c>
      <c r="C54" t="s">
        <v>1087</v>
      </c>
      <c r="D54" t="s">
        <v>72</v>
      </c>
      <c r="E54" t="s">
        <v>1242</v>
      </c>
      <c r="F54" t="s">
        <v>1259</v>
      </c>
      <c r="G54" t="s">
        <v>60</v>
      </c>
      <c r="H54" t="s">
        <v>51</v>
      </c>
      <c r="I54">
        <v>6</v>
      </c>
      <c r="J54" s="24">
        <v>50.22</v>
      </c>
      <c r="K54" s="24">
        <f t="shared" si="0"/>
        <v>301.32</v>
      </c>
      <c r="L54" s="24">
        <v>334.56</v>
      </c>
      <c r="M54" s="2">
        <f t="shared" si="1"/>
        <v>33.240000000000009</v>
      </c>
      <c r="N54" t="str">
        <v>Low</v>
      </c>
      <c r="O54" t="s">
        <v>63</v>
      </c>
    </row>
    <row r="55" spans="1:15" ht="14.4" customHeight="1" x14ac:dyDescent="0.3">
      <c r="A55" t="s">
        <v>93</v>
      </c>
      <c r="B55" s="1">
        <v>45346</v>
      </c>
      <c r="C55" t="s">
        <v>1088</v>
      </c>
      <c r="D55" t="s">
        <v>71</v>
      </c>
      <c r="E55" t="s">
        <v>1254</v>
      </c>
      <c r="F55" t="s">
        <v>1296</v>
      </c>
      <c r="G55" t="s">
        <v>60</v>
      </c>
      <c r="H55" t="s">
        <v>53</v>
      </c>
      <c r="I55">
        <v>3</v>
      </c>
      <c r="J55" s="24">
        <v>91.9</v>
      </c>
      <c r="K55" s="24">
        <f t="shared" si="0"/>
        <v>275.70000000000005</v>
      </c>
      <c r="L55" s="24">
        <v>402.72</v>
      </c>
      <c r="M55" s="2">
        <f t="shared" si="1"/>
        <v>127.01999999999998</v>
      </c>
      <c r="N55" t="str">
        <v>Low</v>
      </c>
      <c r="O55" t="s">
        <v>64</v>
      </c>
    </row>
    <row r="56" spans="1:15" x14ac:dyDescent="0.3">
      <c r="A56" t="s">
        <v>94</v>
      </c>
      <c r="B56" s="1">
        <v>45347</v>
      </c>
      <c r="C56" t="s">
        <v>1074</v>
      </c>
      <c r="D56" t="s">
        <v>73</v>
      </c>
      <c r="E56" t="s">
        <v>1252</v>
      </c>
      <c r="F56" t="s">
        <v>1297</v>
      </c>
      <c r="G56" t="s">
        <v>60</v>
      </c>
      <c r="H56" t="s">
        <v>51</v>
      </c>
      <c r="I56">
        <v>1</v>
      </c>
      <c r="J56" s="24">
        <v>101.67</v>
      </c>
      <c r="K56" s="24">
        <f t="shared" si="0"/>
        <v>101.67</v>
      </c>
      <c r="L56" s="24">
        <v>116.41</v>
      </c>
      <c r="M56" s="2">
        <f t="shared" si="1"/>
        <v>14.739999999999995</v>
      </c>
      <c r="N56" t="str">
        <v>Low</v>
      </c>
      <c r="O56" t="s">
        <v>63</v>
      </c>
    </row>
    <row r="57" spans="1:15" x14ac:dyDescent="0.3">
      <c r="A57" t="s">
        <v>95</v>
      </c>
      <c r="B57" s="1">
        <v>45348</v>
      </c>
      <c r="C57" t="s">
        <v>1089</v>
      </c>
      <c r="D57" t="s">
        <v>74</v>
      </c>
      <c r="E57" t="s">
        <v>1249</v>
      </c>
      <c r="F57" t="s">
        <v>1270</v>
      </c>
      <c r="G57" t="s">
        <v>60</v>
      </c>
      <c r="H57" t="s">
        <v>51</v>
      </c>
      <c r="I57">
        <v>2</v>
      </c>
      <c r="J57" s="24">
        <v>435.8</v>
      </c>
      <c r="K57" s="24">
        <f t="shared" si="0"/>
        <v>871.6</v>
      </c>
      <c r="L57" s="24">
        <v>1009.04</v>
      </c>
      <c r="M57" s="2">
        <f t="shared" si="1"/>
        <v>137.43999999999994</v>
      </c>
      <c r="N57" t="str">
        <v>Low</v>
      </c>
      <c r="O57" t="s">
        <v>64</v>
      </c>
    </row>
    <row r="58" spans="1:15" x14ac:dyDescent="0.3">
      <c r="A58" t="s">
        <v>96</v>
      </c>
      <c r="B58" s="1">
        <v>45349</v>
      </c>
      <c r="C58" t="s">
        <v>1090</v>
      </c>
      <c r="D58" t="s">
        <v>1255</v>
      </c>
      <c r="E58" t="s">
        <v>59</v>
      </c>
      <c r="F58" t="s">
        <v>1295</v>
      </c>
      <c r="G58" t="s">
        <v>60</v>
      </c>
      <c r="H58" t="s">
        <v>53</v>
      </c>
      <c r="I58">
        <v>10</v>
      </c>
      <c r="J58" s="24">
        <v>251.55</v>
      </c>
      <c r="K58" s="24">
        <f t="shared" si="0"/>
        <v>2515.5</v>
      </c>
      <c r="L58" s="24">
        <v>3143.83</v>
      </c>
      <c r="M58" s="2">
        <f t="shared" si="1"/>
        <v>628.32999999999993</v>
      </c>
      <c r="N58" t="str">
        <v>High</v>
      </c>
      <c r="O58" t="s">
        <v>64</v>
      </c>
    </row>
    <row r="59" spans="1:15" x14ac:dyDescent="0.3">
      <c r="A59" t="s">
        <v>97</v>
      </c>
      <c r="B59" s="1">
        <v>45350</v>
      </c>
      <c r="C59" t="s">
        <v>1059</v>
      </c>
      <c r="D59" t="s">
        <v>73</v>
      </c>
      <c r="E59" t="s">
        <v>1243</v>
      </c>
      <c r="F59" t="s">
        <v>1272</v>
      </c>
      <c r="G59" t="s">
        <v>60</v>
      </c>
      <c r="H59" t="s">
        <v>53</v>
      </c>
      <c r="I59">
        <v>10</v>
      </c>
      <c r="J59" s="24">
        <v>120.63</v>
      </c>
      <c r="K59" s="24">
        <f t="shared" si="0"/>
        <v>1206.3</v>
      </c>
      <c r="L59" s="24">
        <v>1450.87</v>
      </c>
      <c r="M59" s="2">
        <f t="shared" si="1"/>
        <v>244.56999999999994</v>
      </c>
      <c r="N59" t="str">
        <v>Low</v>
      </c>
      <c r="O59" t="s">
        <v>63</v>
      </c>
    </row>
    <row r="60" spans="1:15" x14ac:dyDescent="0.3">
      <c r="A60" t="s">
        <v>98</v>
      </c>
      <c r="B60" s="1">
        <v>45351</v>
      </c>
      <c r="C60" t="s">
        <v>1091</v>
      </c>
      <c r="D60" t="s">
        <v>72</v>
      </c>
      <c r="E60" t="s">
        <v>1253</v>
      </c>
      <c r="F60" t="s">
        <v>1298</v>
      </c>
      <c r="G60" t="s">
        <v>60</v>
      </c>
      <c r="H60" t="s">
        <v>53</v>
      </c>
      <c r="I60">
        <v>1</v>
      </c>
      <c r="J60" s="24">
        <v>161.25</v>
      </c>
      <c r="K60" s="24">
        <f t="shared" si="0"/>
        <v>161.25</v>
      </c>
      <c r="L60" s="24">
        <v>177.55</v>
      </c>
      <c r="M60" s="2">
        <f t="shared" si="1"/>
        <v>16.300000000000011</v>
      </c>
      <c r="N60" t="str">
        <v>Low</v>
      </c>
      <c r="O60" t="s">
        <v>65</v>
      </c>
    </row>
    <row r="61" spans="1:15" x14ac:dyDescent="0.3">
      <c r="A61" t="s">
        <v>99</v>
      </c>
      <c r="B61" s="1">
        <v>45352</v>
      </c>
      <c r="C61" t="s">
        <v>1092</v>
      </c>
      <c r="D61" t="s">
        <v>72</v>
      </c>
      <c r="E61" t="s">
        <v>1246</v>
      </c>
      <c r="F61" t="s">
        <v>1267</v>
      </c>
      <c r="G61" t="s">
        <v>60</v>
      </c>
      <c r="H61" t="s">
        <v>51</v>
      </c>
      <c r="I61">
        <v>7</v>
      </c>
      <c r="J61" s="24">
        <v>473.62</v>
      </c>
      <c r="K61" s="24">
        <f t="shared" si="0"/>
        <v>3315.34</v>
      </c>
      <c r="L61" s="24">
        <v>3932.21</v>
      </c>
      <c r="M61" s="2">
        <f t="shared" si="1"/>
        <v>616.86999999999989</v>
      </c>
      <c r="N61" t="str">
        <v>High</v>
      </c>
      <c r="O61" t="s">
        <v>65</v>
      </c>
    </row>
    <row r="62" spans="1:15" x14ac:dyDescent="0.3">
      <c r="A62" t="s">
        <v>100</v>
      </c>
      <c r="B62" s="1">
        <v>45353</v>
      </c>
      <c r="C62" t="s">
        <v>1093</v>
      </c>
      <c r="D62" t="s">
        <v>71</v>
      </c>
      <c r="E62" t="s">
        <v>1241</v>
      </c>
      <c r="F62" t="s">
        <v>1287</v>
      </c>
      <c r="G62" t="s">
        <v>60</v>
      </c>
      <c r="H62" t="s">
        <v>54</v>
      </c>
      <c r="I62">
        <v>5</v>
      </c>
      <c r="J62" s="24">
        <v>278.64999999999998</v>
      </c>
      <c r="K62" s="24">
        <f t="shared" si="0"/>
        <v>1393.25</v>
      </c>
      <c r="L62" s="24">
        <v>1854.79</v>
      </c>
      <c r="M62" s="2">
        <f t="shared" si="1"/>
        <v>461.53999999999996</v>
      </c>
      <c r="N62" t="str">
        <v>Low</v>
      </c>
      <c r="O62" t="s">
        <v>64</v>
      </c>
    </row>
    <row r="63" spans="1:15" x14ac:dyDescent="0.3">
      <c r="A63" t="s">
        <v>101</v>
      </c>
      <c r="B63" s="1">
        <v>45354</v>
      </c>
      <c r="C63" t="s">
        <v>1094</v>
      </c>
      <c r="D63" t="s">
        <v>74</v>
      </c>
      <c r="E63" t="s">
        <v>1244</v>
      </c>
      <c r="F63" t="s">
        <v>58</v>
      </c>
      <c r="G63" t="s">
        <v>60</v>
      </c>
      <c r="H63" t="s">
        <v>51</v>
      </c>
      <c r="I63">
        <v>8</v>
      </c>
      <c r="J63" s="24">
        <v>66.3</v>
      </c>
      <c r="K63" s="24">
        <f t="shared" si="0"/>
        <v>530.4</v>
      </c>
      <c r="L63" s="24">
        <v>623.42999999999995</v>
      </c>
      <c r="M63" s="2">
        <f t="shared" si="1"/>
        <v>93.029999999999973</v>
      </c>
      <c r="N63" t="str">
        <v>Low</v>
      </c>
      <c r="O63" t="s">
        <v>65</v>
      </c>
    </row>
    <row r="64" spans="1:15" x14ac:dyDescent="0.3">
      <c r="A64" t="s">
        <v>102</v>
      </c>
      <c r="B64" s="1">
        <v>45355</v>
      </c>
      <c r="C64" t="s">
        <v>1095</v>
      </c>
      <c r="D64" t="s">
        <v>71</v>
      </c>
      <c r="E64" t="s">
        <v>1241</v>
      </c>
      <c r="F64" t="s">
        <v>1299</v>
      </c>
      <c r="G64" t="s">
        <v>60</v>
      </c>
      <c r="H64" t="s">
        <v>52</v>
      </c>
      <c r="I64">
        <v>8</v>
      </c>
      <c r="J64" s="24">
        <v>161.68</v>
      </c>
      <c r="K64" s="24">
        <f t="shared" si="0"/>
        <v>1293.44</v>
      </c>
      <c r="L64" s="24">
        <v>1634.43</v>
      </c>
      <c r="M64" s="2">
        <f t="shared" si="1"/>
        <v>340.99</v>
      </c>
      <c r="N64" t="str">
        <v>Low</v>
      </c>
      <c r="O64" t="s">
        <v>65</v>
      </c>
    </row>
    <row r="65" spans="1:15" x14ac:dyDescent="0.3">
      <c r="A65" t="s">
        <v>103</v>
      </c>
      <c r="B65" s="1">
        <v>45356</v>
      </c>
      <c r="C65" t="s">
        <v>1059</v>
      </c>
      <c r="D65" t="s">
        <v>71</v>
      </c>
      <c r="E65" t="s">
        <v>1240</v>
      </c>
      <c r="F65" t="s">
        <v>1273</v>
      </c>
      <c r="G65" t="s">
        <v>60</v>
      </c>
      <c r="H65" t="s">
        <v>51</v>
      </c>
      <c r="I65">
        <v>10</v>
      </c>
      <c r="J65" s="24">
        <v>422.56</v>
      </c>
      <c r="K65" s="24">
        <f t="shared" si="0"/>
        <v>4225.6000000000004</v>
      </c>
      <c r="L65" s="24">
        <v>6136.46</v>
      </c>
      <c r="M65" s="2">
        <f t="shared" si="1"/>
        <v>1910.8599999999997</v>
      </c>
      <c r="N65" t="str">
        <v>High</v>
      </c>
      <c r="O65" t="s">
        <v>64</v>
      </c>
    </row>
    <row r="66" spans="1:15" x14ac:dyDescent="0.3">
      <c r="A66" t="s">
        <v>104</v>
      </c>
      <c r="B66" s="1">
        <v>45357</v>
      </c>
      <c r="C66" t="s">
        <v>1096</v>
      </c>
      <c r="D66" t="s">
        <v>1255</v>
      </c>
      <c r="E66" t="s">
        <v>59</v>
      </c>
      <c r="F66" t="s">
        <v>1266</v>
      </c>
      <c r="G66" t="s">
        <v>60</v>
      </c>
      <c r="H66" t="s">
        <v>51</v>
      </c>
      <c r="I66">
        <v>4</v>
      </c>
      <c r="J66" s="24">
        <v>365.19</v>
      </c>
      <c r="K66" s="24">
        <f t="shared" si="0"/>
        <v>1460.76</v>
      </c>
      <c r="L66" s="24">
        <v>1812.46</v>
      </c>
      <c r="M66" s="2">
        <f t="shared" si="1"/>
        <v>351.70000000000005</v>
      </c>
      <c r="N66" t="str">
        <v>Low</v>
      </c>
      <c r="O66" t="s">
        <v>64</v>
      </c>
    </row>
    <row r="67" spans="1:15" x14ac:dyDescent="0.3">
      <c r="A67" t="s">
        <v>105</v>
      </c>
      <c r="B67" s="1">
        <v>45358</v>
      </c>
      <c r="C67" t="s">
        <v>1076</v>
      </c>
      <c r="D67" t="s">
        <v>72</v>
      </c>
      <c r="E67" t="s">
        <v>1246</v>
      </c>
      <c r="F67" t="s">
        <v>1300</v>
      </c>
      <c r="G67" t="s">
        <v>60</v>
      </c>
      <c r="H67" t="s">
        <v>54</v>
      </c>
      <c r="I67">
        <v>3</v>
      </c>
      <c r="J67" s="24">
        <v>459.44</v>
      </c>
      <c r="K67" s="24">
        <f t="shared" ref="K67:K130" si="2">J67*I67</f>
        <v>1378.32</v>
      </c>
      <c r="L67" s="24">
        <v>1961.91</v>
      </c>
      <c r="M67" s="2">
        <f t="shared" ref="M67:M130" si="3">L67-K67</f>
        <v>583.59000000000015</v>
      </c>
      <c r="N67" t="str">
        <v>Low</v>
      </c>
      <c r="O67" t="s">
        <v>63</v>
      </c>
    </row>
    <row r="68" spans="1:15" x14ac:dyDescent="0.3">
      <c r="A68" t="s">
        <v>106</v>
      </c>
      <c r="B68" s="1">
        <v>45359</v>
      </c>
      <c r="C68" t="s">
        <v>1041</v>
      </c>
      <c r="D68" t="s">
        <v>71</v>
      </c>
      <c r="E68" t="s">
        <v>1241</v>
      </c>
      <c r="F68" t="s">
        <v>1287</v>
      </c>
      <c r="G68" t="s">
        <v>60</v>
      </c>
      <c r="H68" t="s">
        <v>53</v>
      </c>
      <c r="I68">
        <v>8</v>
      </c>
      <c r="J68" s="24">
        <v>325.73</v>
      </c>
      <c r="K68" s="24">
        <f t="shared" si="2"/>
        <v>2605.84</v>
      </c>
      <c r="L68" s="24">
        <v>3437.24</v>
      </c>
      <c r="M68" s="2">
        <f t="shared" si="3"/>
        <v>831.39999999999964</v>
      </c>
      <c r="N68" t="str">
        <v>High</v>
      </c>
      <c r="O68" t="s">
        <v>65</v>
      </c>
    </row>
    <row r="69" spans="1:15" x14ac:dyDescent="0.3">
      <c r="A69" t="s">
        <v>107</v>
      </c>
      <c r="B69" s="1">
        <v>45360</v>
      </c>
      <c r="C69" t="s">
        <v>1097</v>
      </c>
      <c r="D69" t="s">
        <v>74</v>
      </c>
      <c r="E69" t="s">
        <v>1247</v>
      </c>
      <c r="F69" t="s">
        <v>1285</v>
      </c>
      <c r="G69" t="s">
        <v>60</v>
      </c>
      <c r="H69" t="s">
        <v>53</v>
      </c>
      <c r="I69">
        <v>4</v>
      </c>
      <c r="J69" s="24">
        <v>300.58999999999997</v>
      </c>
      <c r="K69" s="24">
        <f t="shared" si="2"/>
        <v>1202.3599999999999</v>
      </c>
      <c r="L69" s="24">
        <v>1598.49</v>
      </c>
      <c r="M69" s="2">
        <f t="shared" si="3"/>
        <v>396.13000000000011</v>
      </c>
      <c r="N69" t="str">
        <v>Low</v>
      </c>
      <c r="O69" t="s">
        <v>65</v>
      </c>
    </row>
    <row r="70" spans="1:15" x14ac:dyDescent="0.3">
      <c r="A70" t="s">
        <v>108</v>
      </c>
      <c r="B70" s="1">
        <v>45361</v>
      </c>
      <c r="C70" t="s">
        <v>1098</v>
      </c>
      <c r="D70" t="s">
        <v>71</v>
      </c>
      <c r="E70" t="s">
        <v>1240</v>
      </c>
      <c r="F70" t="s">
        <v>1273</v>
      </c>
      <c r="G70" t="s">
        <v>60</v>
      </c>
      <c r="H70" t="s">
        <v>51</v>
      </c>
      <c r="I70">
        <v>8</v>
      </c>
      <c r="J70" s="24">
        <v>292.13</v>
      </c>
      <c r="K70" s="24">
        <f t="shared" si="2"/>
        <v>2337.04</v>
      </c>
      <c r="L70" s="24">
        <v>3318.42</v>
      </c>
      <c r="M70" s="2">
        <f t="shared" si="3"/>
        <v>981.38000000000011</v>
      </c>
      <c r="N70" t="str">
        <v>High</v>
      </c>
      <c r="O70" t="s">
        <v>65</v>
      </c>
    </row>
    <row r="71" spans="1:15" x14ac:dyDescent="0.3">
      <c r="A71" t="s">
        <v>109</v>
      </c>
      <c r="B71" s="1">
        <v>45362</v>
      </c>
      <c r="C71" t="s">
        <v>1099</v>
      </c>
      <c r="D71" t="s">
        <v>72</v>
      </c>
      <c r="E71" t="s">
        <v>1245</v>
      </c>
      <c r="F71" t="s">
        <v>1263</v>
      </c>
      <c r="G71" t="s">
        <v>60</v>
      </c>
      <c r="H71" t="s">
        <v>53</v>
      </c>
      <c r="I71">
        <v>7</v>
      </c>
      <c r="J71" s="24">
        <v>317.27999999999997</v>
      </c>
      <c r="K71" s="24">
        <f t="shared" si="2"/>
        <v>2220.96</v>
      </c>
      <c r="L71" s="24">
        <v>2906.5</v>
      </c>
      <c r="M71" s="2">
        <f t="shared" si="3"/>
        <v>685.54</v>
      </c>
      <c r="N71" t="str">
        <v>High</v>
      </c>
      <c r="O71" t="s">
        <v>64</v>
      </c>
    </row>
    <row r="72" spans="1:15" x14ac:dyDescent="0.3">
      <c r="A72" t="s">
        <v>110</v>
      </c>
      <c r="B72" s="1">
        <v>45363</v>
      </c>
      <c r="C72" t="s">
        <v>1100</v>
      </c>
      <c r="D72" t="s">
        <v>73</v>
      </c>
      <c r="E72" t="s">
        <v>1250</v>
      </c>
      <c r="F72" t="s">
        <v>1284</v>
      </c>
      <c r="G72" t="s">
        <v>60</v>
      </c>
      <c r="H72" t="s">
        <v>53</v>
      </c>
      <c r="I72">
        <v>2</v>
      </c>
      <c r="J72" s="24">
        <v>418.09</v>
      </c>
      <c r="K72" s="24">
        <f t="shared" si="2"/>
        <v>836.18</v>
      </c>
      <c r="L72" s="24">
        <v>1100.19</v>
      </c>
      <c r="M72" s="2">
        <f t="shared" si="3"/>
        <v>264.0100000000001</v>
      </c>
      <c r="N72" t="str">
        <v>Low</v>
      </c>
      <c r="O72" t="s">
        <v>63</v>
      </c>
    </row>
    <row r="73" spans="1:15" x14ac:dyDescent="0.3">
      <c r="A73" t="s">
        <v>111</v>
      </c>
      <c r="B73" s="1">
        <v>45364</v>
      </c>
      <c r="C73" t="s">
        <v>1082</v>
      </c>
      <c r="D73" t="s">
        <v>74</v>
      </c>
      <c r="E73" t="s">
        <v>1244</v>
      </c>
      <c r="F73" t="s">
        <v>1264</v>
      </c>
      <c r="G73" t="s">
        <v>60</v>
      </c>
      <c r="H73" t="s">
        <v>52</v>
      </c>
      <c r="I73">
        <v>2</v>
      </c>
      <c r="J73" s="24">
        <v>131.1</v>
      </c>
      <c r="K73" s="24">
        <f t="shared" si="2"/>
        <v>262.2</v>
      </c>
      <c r="L73" s="24">
        <v>292.86</v>
      </c>
      <c r="M73" s="2">
        <f t="shared" si="3"/>
        <v>30.660000000000025</v>
      </c>
      <c r="N73" t="str">
        <v>Low</v>
      </c>
      <c r="O73" t="s">
        <v>65</v>
      </c>
    </row>
    <row r="74" spans="1:15" x14ac:dyDescent="0.3">
      <c r="A74" t="s">
        <v>112</v>
      </c>
      <c r="B74" s="1">
        <v>45365</v>
      </c>
      <c r="C74" t="s">
        <v>1101</v>
      </c>
      <c r="D74" t="s">
        <v>71</v>
      </c>
      <c r="E74" t="s">
        <v>1248</v>
      </c>
      <c r="F74" t="s">
        <v>1301</v>
      </c>
      <c r="G74" t="s">
        <v>60</v>
      </c>
      <c r="H74" t="s">
        <v>53</v>
      </c>
      <c r="I74">
        <v>4</v>
      </c>
      <c r="J74" s="24">
        <v>458.09</v>
      </c>
      <c r="K74" s="24">
        <f t="shared" si="2"/>
        <v>1832.36</v>
      </c>
      <c r="L74" s="24">
        <v>2166.8200000000002</v>
      </c>
      <c r="M74" s="2">
        <f t="shared" si="3"/>
        <v>334.46000000000026</v>
      </c>
      <c r="N74" t="str">
        <v>High</v>
      </c>
      <c r="O74" t="s">
        <v>65</v>
      </c>
    </row>
    <row r="75" spans="1:15" x14ac:dyDescent="0.3">
      <c r="A75" t="s">
        <v>113</v>
      </c>
      <c r="B75" s="1">
        <v>45366</v>
      </c>
      <c r="C75" t="s">
        <v>1102</v>
      </c>
      <c r="D75" t="s">
        <v>74</v>
      </c>
      <c r="E75" t="s">
        <v>1244</v>
      </c>
      <c r="F75" t="s">
        <v>58</v>
      </c>
      <c r="G75" t="s">
        <v>60</v>
      </c>
      <c r="H75" t="s">
        <v>51</v>
      </c>
      <c r="I75">
        <v>10</v>
      </c>
      <c r="J75" s="24">
        <v>268.27</v>
      </c>
      <c r="K75" s="24">
        <f t="shared" si="2"/>
        <v>2682.7</v>
      </c>
      <c r="L75" s="24">
        <v>3511.05</v>
      </c>
      <c r="M75" s="2">
        <f t="shared" si="3"/>
        <v>828.35000000000036</v>
      </c>
      <c r="N75" t="str">
        <v>High</v>
      </c>
      <c r="O75" t="s">
        <v>64</v>
      </c>
    </row>
    <row r="76" spans="1:15" x14ac:dyDescent="0.3">
      <c r="A76" t="s">
        <v>114</v>
      </c>
      <c r="B76" s="1">
        <v>45367</v>
      </c>
      <c r="C76" t="s">
        <v>1103</v>
      </c>
      <c r="D76" t="s">
        <v>73</v>
      </c>
      <c r="E76" t="s">
        <v>1250</v>
      </c>
      <c r="F76" t="s">
        <v>1302</v>
      </c>
      <c r="G76" t="s">
        <v>60</v>
      </c>
      <c r="H76" t="s">
        <v>52</v>
      </c>
      <c r="I76">
        <v>5</v>
      </c>
      <c r="J76" s="24">
        <v>411.73</v>
      </c>
      <c r="K76" s="24">
        <f t="shared" si="2"/>
        <v>2058.65</v>
      </c>
      <c r="L76" s="24">
        <v>2900.43</v>
      </c>
      <c r="M76" s="2">
        <f t="shared" si="3"/>
        <v>841.77999999999975</v>
      </c>
      <c r="N76" t="str">
        <v>High</v>
      </c>
      <c r="O76" t="s">
        <v>64</v>
      </c>
    </row>
    <row r="77" spans="1:15" x14ac:dyDescent="0.3">
      <c r="A77" t="s">
        <v>115</v>
      </c>
      <c r="B77" s="1">
        <v>45368</v>
      </c>
      <c r="C77" t="s">
        <v>1104</v>
      </c>
      <c r="D77" t="s">
        <v>72</v>
      </c>
      <c r="E77" t="s">
        <v>1242</v>
      </c>
      <c r="F77" t="s">
        <v>1280</v>
      </c>
      <c r="G77" t="s">
        <v>60</v>
      </c>
      <c r="H77" t="s">
        <v>54</v>
      </c>
      <c r="I77">
        <v>3</v>
      </c>
      <c r="J77" s="24">
        <v>158.5</v>
      </c>
      <c r="K77" s="24">
        <f t="shared" si="2"/>
        <v>475.5</v>
      </c>
      <c r="L77" s="24">
        <v>656.48</v>
      </c>
      <c r="M77" s="2">
        <f t="shared" si="3"/>
        <v>180.98000000000002</v>
      </c>
      <c r="N77" t="str">
        <v>Low</v>
      </c>
      <c r="O77" t="s">
        <v>65</v>
      </c>
    </row>
    <row r="78" spans="1:15" x14ac:dyDescent="0.3">
      <c r="A78" t="s">
        <v>116</v>
      </c>
      <c r="B78" s="1">
        <v>45369</v>
      </c>
      <c r="C78" t="s">
        <v>1087</v>
      </c>
      <c r="D78" t="s">
        <v>72</v>
      </c>
      <c r="E78" t="s">
        <v>1242</v>
      </c>
      <c r="F78" t="s">
        <v>1294</v>
      </c>
      <c r="G78" t="s">
        <v>60</v>
      </c>
      <c r="H78" t="s">
        <v>52</v>
      </c>
      <c r="I78">
        <v>1</v>
      </c>
      <c r="J78" s="24">
        <v>322.82</v>
      </c>
      <c r="K78" s="24">
        <f t="shared" si="2"/>
        <v>322.82</v>
      </c>
      <c r="L78" s="24">
        <v>459.91</v>
      </c>
      <c r="M78" s="2">
        <f t="shared" si="3"/>
        <v>137.09000000000003</v>
      </c>
      <c r="N78" t="str">
        <v>Low</v>
      </c>
      <c r="O78" t="s">
        <v>65</v>
      </c>
    </row>
    <row r="79" spans="1:15" x14ac:dyDescent="0.3">
      <c r="A79" t="s">
        <v>117</v>
      </c>
      <c r="B79" s="1">
        <v>45370</v>
      </c>
      <c r="C79" t="s">
        <v>1105</v>
      </c>
      <c r="D79" t="s">
        <v>73</v>
      </c>
      <c r="E79" t="s">
        <v>1243</v>
      </c>
      <c r="F79" t="s">
        <v>1303</v>
      </c>
      <c r="G79" t="s">
        <v>60</v>
      </c>
      <c r="H79" t="s">
        <v>54</v>
      </c>
      <c r="I79">
        <v>1</v>
      </c>
      <c r="J79" s="24">
        <v>253.77</v>
      </c>
      <c r="K79" s="24">
        <f t="shared" si="2"/>
        <v>253.77</v>
      </c>
      <c r="L79" s="24">
        <v>336.26</v>
      </c>
      <c r="M79" s="2">
        <f t="shared" si="3"/>
        <v>82.489999999999981</v>
      </c>
      <c r="N79" t="str">
        <v>Low</v>
      </c>
      <c r="O79" t="s">
        <v>65</v>
      </c>
    </row>
    <row r="80" spans="1:15" x14ac:dyDescent="0.3">
      <c r="A80" t="s">
        <v>118</v>
      </c>
      <c r="B80" s="1">
        <v>45371</v>
      </c>
      <c r="C80" t="s">
        <v>1106</v>
      </c>
      <c r="D80" t="s">
        <v>71</v>
      </c>
      <c r="E80" t="s">
        <v>1254</v>
      </c>
      <c r="F80" t="s">
        <v>1296</v>
      </c>
      <c r="G80" t="s">
        <v>60</v>
      </c>
      <c r="H80" t="s">
        <v>52</v>
      </c>
      <c r="I80">
        <v>9</v>
      </c>
      <c r="J80" s="24">
        <v>87.71</v>
      </c>
      <c r="K80" s="24">
        <f t="shared" si="2"/>
        <v>789.39</v>
      </c>
      <c r="L80" s="24">
        <v>1179.57</v>
      </c>
      <c r="M80" s="2">
        <f t="shared" si="3"/>
        <v>390.17999999999995</v>
      </c>
      <c r="N80" t="str">
        <v>Low</v>
      </c>
      <c r="O80" t="s">
        <v>64</v>
      </c>
    </row>
    <row r="81" spans="1:15" x14ac:dyDescent="0.3">
      <c r="A81" t="s">
        <v>119</v>
      </c>
      <c r="B81" s="1">
        <v>45372</v>
      </c>
      <c r="C81" t="s">
        <v>1072</v>
      </c>
      <c r="D81" t="s">
        <v>74</v>
      </c>
      <c r="E81" t="s">
        <v>1249</v>
      </c>
      <c r="F81" t="s">
        <v>1270</v>
      </c>
      <c r="G81" t="s">
        <v>60</v>
      </c>
      <c r="H81" t="s">
        <v>51</v>
      </c>
      <c r="I81">
        <v>2</v>
      </c>
      <c r="J81" s="24">
        <v>294.54000000000002</v>
      </c>
      <c r="K81" s="24">
        <f t="shared" si="2"/>
        <v>589.08000000000004</v>
      </c>
      <c r="L81" s="24">
        <v>787.43</v>
      </c>
      <c r="M81" s="2">
        <f t="shared" si="3"/>
        <v>198.34999999999991</v>
      </c>
      <c r="N81" t="str">
        <v>Low</v>
      </c>
      <c r="O81" t="s">
        <v>64</v>
      </c>
    </row>
    <row r="82" spans="1:15" x14ac:dyDescent="0.3">
      <c r="A82" t="s">
        <v>120</v>
      </c>
      <c r="B82" s="1">
        <v>45373</v>
      </c>
      <c r="C82" t="s">
        <v>1056</v>
      </c>
      <c r="D82" t="s">
        <v>71</v>
      </c>
      <c r="E82" t="s">
        <v>1254</v>
      </c>
      <c r="F82" t="s">
        <v>1304</v>
      </c>
      <c r="G82" t="s">
        <v>60</v>
      </c>
      <c r="H82" t="s">
        <v>52</v>
      </c>
      <c r="I82">
        <v>6</v>
      </c>
      <c r="J82" s="24">
        <v>499.37</v>
      </c>
      <c r="K82" s="24">
        <f t="shared" si="2"/>
        <v>2996.2200000000003</v>
      </c>
      <c r="L82" s="24">
        <v>3688.27</v>
      </c>
      <c r="M82" s="2">
        <f t="shared" si="3"/>
        <v>692.04999999999973</v>
      </c>
      <c r="N82" t="str">
        <v>High</v>
      </c>
      <c r="O82" t="s">
        <v>65</v>
      </c>
    </row>
    <row r="83" spans="1:15" x14ac:dyDescent="0.3">
      <c r="A83" t="s">
        <v>121</v>
      </c>
      <c r="B83" s="1">
        <v>45374</v>
      </c>
      <c r="C83" t="s">
        <v>1048</v>
      </c>
      <c r="D83" t="s">
        <v>74</v>
      </c>
      <c r="E83" t="s">
        <v>1247</v>
      </c>
      <c r="F83" t="s">
        <v>1283</v>
      </c>
      <c r="G83" t="s">
        <v>60</v>
      </c>
      <c r="H83" t="s">
        <v>51</v>
      </c>
      <c r="I83">
        <v>6</v>
      </c>
      <c r="J83" s="24">
        <v>50.21</v>
      </c>
      <c r="K83" s="24">
        <f t="shared" si="2"/>
        <v>301.26</v>
      </c>
      <c r="L83" s="24">
        <v>345.76</v>
      </c>
      <c r="M83" s="2">
        <f t="shared" si="3"/>
        <v>44.5</v>
      </c>
      <c r="N83" t="str">
        <v>Low</v>
      </c>
      <c r="O83" t="s">
        <v>64</v>
      </c>
    </row>
    <row r="84" spans="1:15" x14ac:dyDescent="0.3">
      <c r="A84" t="s">
        <v>122</v>
      </c>
      <c r="B84" s="1">
        <v>45375</v>
      </c>
      <c r="C84" t="s">
        <v>1107</v>
      </c>
      <c r="D84" t="s">
        <v>1255</v>
      </c>
      <c r="E84" t="s">
        <v>59</v>
      </c>
      <c r="F84" t="s">
        <v>1266</v>
      </c>
      <c r="G84" t="s">
        <v>60</v>
      </c>
      <c r="H84" t="s">
        <v>54</v>
      </c>
      <c r="I84">
        <v>7</v>
      </c>
      <c r="J84" s="24">
        <v>309.82</v>
      </c>
      <c r="K84" s="24">
        <f t="shared" si="2"/>
        <v>2168.7399999999998</v>
      </c>
      <c r="L84" s="24">
        <v>2606.4699999999998</v>
      </c>
      <c r="M84" s="2">
        <f t="shared" si="3"/>
        <v>437.73</v>
      </c>
      <c r="N84" t="str">
        <v>High</v>
      </c>
      <c r="O84" t="s">
        <v>64</v>
      </c>
    </row>
    <row r="85" spans="1:15" x14ac:dyDescent="0.3">
      <c r="A85" t="s">
        <v>123</v>
      </c>
      <c r="B85" s="1">
        <v>45376</v>
      </c>
      <c r="C85" t="s">
        <v>1108</v>
      </c>
      <c r="D85" t="s">
        <v>72</v>
      </c>
      <c r="E85" t="s">
        <v>1245</v>
      </c>
      <c r="F85" t="s">
        <v>1305</v>
      </c>
      <c r="G85" t="s">
        <v>60</v>
      </c>
      <c r="H85" t="s">
        <v>53</v>
      </c>
      <c r="I85">
        <v>1</v>
      </c>
      <c r="J85" s="24">
        <v>212.2</v>
      </c>
      <c r="K85" s="24">
        <f t="shared" si="2"/>
        <v>212.2</v>
      </c>
      <c r="L85" s="24">
        <v>267.95999999999998</v>
      </c>
      <c r="M85" s="2">
        <f t="shared" si="3"/>
        <v>55.759999999999991</v>
      </c>
      <c r="N85" t="str">
        <v>Low</v>
      </c>
      <c r="O85" t="s">
        <v>64</v>
      </c>
    </row>
    <row r="86" spans="1:15" x14ac:dyDescent="0.3">
      <c r="A86" t="s">
        <v>124</v>
      </c>
      <c r="B86" s="1">
        <v>45377</v>
      </c>
      <c r="C86" t="s">
        <v>1109</v>
      </c>
      <c r="D86" t="s">
        <v>72</v>
      </c>
      <c r="E86" t="s">
        <v>1253</v>
      </c>
      <c r="F86" t="s">
        <v>1281</v>
      </c>
      <c r="G86" t="s">
        <v>60</v>
      </c>
      <c r="H86" t="s">
        <v>53</v>
      </c>
      <c r="I86">
        <v>9</v>
      </c>
      <c r="J86" s="24">
        <v>325.14</v>
      </c>
      <c r="K86" s="24">
        <f t="shared" si="2"/>
        <v>2926.2599999999998</v>
      </c>
      <c r="L86" s="24">
        <v>3758.17</v>
      </c>
      <c r="M86" s="2">
        <f t="shared" si="3"/>
        <v>831.91000000000031</v>
      </c>
      <c r="N86" t="str">
        <v>High</v>
      </c>
      <c r="O86" t="s">
        <v>64</v>
      </c>
    </row>
    <row r="87" spans="1:15" x14ac:dyDescent="0.3">
      <c r="A87" t="s">
        <v>125</v>
      </c>
      <c r="B87" s="1">
        <v>45378</v>
      </c>
      <c r="C87" t="s">
        <v>1092</v>
      </c>
      <c r="D87" t="s">
        <v>72</v>
      </c>
      <c r="E87" t="s">
        <v>1246</v>
      </c>
      <c r="F87" t="s">
        <v>1267</v>
      </c>
      <c r="G87" t="s">
        <v>60</v>
      </c>
      <c r="H87" t="s">
        <v>52</v>
      </c>
      <c r="I87">
        <v>4</v>
      </c>
      <c r="J87" s="24">
        <v>185.68</v>
      </c>
      <c r="K87" s="24">
        <f t="shared" si="2"/>
        <v>742.72</v>
      </c>
      <c r="L87" s="24">
        <v>985.55</v>
      </c>
      <c r="M87" s="2">
        <f t="shared" si="3"/>
        <v>242.82999999999993</v>
      </c>
      <c r="N87" t="str">
        <v>Low</v>
      </c>
      <c r="O87" t="s">
        <v>64</v>
      </c>
    </row>
    <row r="88" spans="1:15" x14ac:dyDescent="0.3">
      <c r="A88" t="s">
        <v>126</v>
      </c>
      <c r="B88" s="1">
        <v>45379</v>
      </c>
      <c r="C88" t="s">
        <v>1110</v>
      </c>
      <c r="D88" t="s">
        <v>72</v>
      </c>
      <c r="E88" t="s">
        <v>1246</v>
      </c>
      <c r="F88" t="s">
        <v>1300</v>
      </c>
      <c r="G88" t="s">
        <v>60</v>
      </c>
      <c r="H88" t="s">
        <v>51</v>
      </c>
      <c r="I88">
        <v>10</v>
      </c>
      <c r="J88" s="24">
        <v>104.18</v>
      </c>
      <c r="K88" s="24">
        <f t="shared" si="2"/>
        <v>1041.8000000000002</v>
      </c>
      <c r="L88" s="24">
        <v>1425.31</v>
      </c>
      <c r="M88" s="2">
        <f t="shared" si="3"/>
        <v>383.50999999999976</v>
      </c>
      <c r="N88" t="str">
        <v>Low</v>
      </c>
      <c r="O88" t="s">
        <v>64</v>
      </c>
    </row>
    <row r="89" spans="1:15" x14ac:dyDescent="0.3">
      <c r="A89" t="s">
        <v>127</v>
      </c>
      <c r="B89" s="1">
        <v>45380</v>
      </c>
      <c r="C89" t="s">
        <v>1111</v>
      </c>
      <c r="D89" t="s">
        <v>72</v>
      </c>
      <c r="E89" t="s">
        <v>1242</v>
      </c>
      <c r="F89" t="s">
        <v>1259</v>
      </c>
      <c r="G89" t="s">
        <v>60</v>
      </c>
      <c r="H89" t="s">
        <v>52</v>
      </c>
      <c r="I89">
        <v>2</v>
      </c>
      <c r="J89" s="24">
        <v>449.77</v>
      </c>
      <c r="K89" s="24">
        <f t="shared" si="2"/>
        <v>899.54</v>
      </c>
      <c r="L89" s="24">
        <v>1070.32</v>
      </c>
      <c r="M89" s="2">
        <f t="shared" si="3"/>
        <v>170.77999999999997</v>
      </c>
      <c r="N89" t="str">
        <v>Low</v>
      </c>
      <c r="O89" t="s">
        <v>64</v>
      </c>
    </row>
    <row r="90" spans="1:15" x14ac:dyDescent="0.3">
      <c r="A90" t="s">
        <v>128</v>
      </c>
      <c r="B90" s="1">
        <v>45381</v>
      </c>
      <c r="C90" t="s">
        <v>1112</v>
      </c>
      <c r="D90" t="s">
        <v>73</v>
      </c>
      <c r="E90" t="s">
        <v>1243</v>
      </c>
      <c r="F90" t="s">
        <v>1306</v>
      </c>
      <c r="G90" t="s">
        <v>60</v>
      </c>
      <c r="H90" t="s">
        <v>53</v>
      </c>
      <c r="I90">
        <v>5</v>
      </c>
      <c r="J90" s="24">
        <v>495.45</v>
      </c>
      <c r="K90" s="24">
        <f t="shared" si="2"/>
        <v>2477.25</v>
      </c>
      <c r="L90" s="24">
        <v>3479.66</v>
      </c>
      <c r="M90" s="2">
        <f t="shared" si="3"/>
        <v>1002.4099999999999</v>
      </c>
      <c r="N90" t="str">
        <v>High</v>
      </c>
      <c r="O90" t="s">
        <v>64</v>
      </c>
    </row>
    <row r="91" spans="1:15" x14ac:dyDescent="0.3">
      <c r="A91" t="s">
        <v>129</v>
      </c>
      <c r="B91" s="1">
        <v>45382</v>
      </c>
      <c r="C91" t="s">
        <v>1113</v>
      </c>
      <c r="D91" t="s">
        <v>74</v>
      </c>
      <c r="E91" t="s">
        <v>1244</v>
      </c>
      <c r="F91" t="s">
        <v>1264</v>
      </c>
      <c r="G91" t="s">
        <v>60</v>
      </c>
      <c r="H91" t="s">
        <v>52</v>
      </c>
      <c r="I91">
        <v>1</v>
      </c>
      <c r="J91" s="24">
        <v>360.8</v>
      </c>
      <c r="K91" s="24">
        <f t="shared" si="2"/>
        <v>360.8</v>
      </c>
      <c r="L91" s="24">
        <v>450.4</v>
      </c>
      <c r="M91" s="2">
        <f t="shared" si="3"/>
        <v>89.599999999999966</v>
      </c>
      <c r="N91" t="str">
        <v>Low</v>
      </c>
      <c r="O91" t="s">
        <v>64</v>
      </c>
    </row>
    <row r="92" spans="1:15" x14ac:dyDescent="0.3">
      <c r="A92" t="s">
        <v>130</v>
      </c>
      <c r="B92" s="1">
        <v>45383</v>
      </c>
      <c r="C92" t="s">
        <v>1114</v>
      </c>
      <c r="D92" t="s">
        <v>72</v>
      </c>
      <c r="E92" t="s">
        <v>1242</v>
      </c>
      <c r="F92" t="s">
        <v>1294</v>
      </c>
      <c r="G92" t="s">
        <v>60</v>
      </c>
      <c r="H92" t="s">
        <v>53</v>
      </c>
      <c r="I92">
        <v>6</v>
      </c>
      <c r="J92" s="24">
        <v>343.54</v>
      </c>
      <c r="K92" s="24">
        <f t="shared" si="2"/>
        <v>2061.2400000000002</v>
      </c>
      <c r="L92" s="24">
        <v>2993.32</v>
      </c>
      <c r="M92" s="2">
        <f t="shared" si="3"/>
        <v>932.07999999999993</v>
      </c>
      <c r="N92" t="str">
        <v>High</v>
      </c>
      <c r="O92" t="s">
        <v>63</v>
      </c>
    </row>
    <row r="93" spans="1:15" x14ac:dyDescent="0.3">
      <c r="A93" t="s">
        <v>131</v>
      </c>
      <c r="B93" s="1">
        <v>45384</v>
      </c>
      <c r="C93" t="s">
        <v>1115</v>
      </c>
      <c r="D93" t="s">
        <v>72</v>
      </c>
      <c r="E93" t="s">
        <v>1242</v>
      </c>
      <c r="F93" t="s">
        <v>1280</v>
      </c>
      <c r="G93" t="s">
        <v>60</v>
      </c>
      <c r="H93" t="s">
        <v>54</v>
      </c>
      <c r="I93">
        <v>4</v>
      </c>
      <c r="J93" s="24">
        <v>360.39</v>
      </c>
      <c r="K93" s="24">
        <f t="shared" si="2"/>
        <v>1441.56</v>
      </c>
      <c r="L93" s="24">
        <v>2056.67</v>
      </c>
      <c r="M93" s="2">
        <f t="shared" si="3"/>
        <v>615.11000000000013</v>
      </c>
      <c r="N93" t="str">
        <v>High</v>
      </c>
      <c r="O93" t="s">
        <v>64</v>
      </c>
    </row>
    <row r="94" spans="1:15" x14ac:dyDescent="0.3">
      <c r="A94" t="s">
        <v>132</v>
      </c>
      <c r="B94" s="1">
        <v>45385</v>
      </c>
      <c r="C94" t="s">
        <v>1116</v>
      </c>
      <c r="D94" t="s">
        <v>73</v>
      </c>
      <c r="E94" t="s">
        <v>1243</v>
      </c>
      <c r="F94" t="s">
        <v>1303</v>
      </c>
      <c r="G94" t="s">
        <v>60</v>
      </c>
      <c r="H94" t="s">
        <v>51</v>
      </c>
      <c r="I94">
        <v>7</v>
      </c>
      <c r="J94" s="24">
        <v>84.96</v>
      </c>
      <c r="K94" s="24">
        <f t="shared" si="2"/>
        <v>594.71999999999991</v>
      </c>
      <c r="L94" s="24">
        <v>724.78</v>
      </c>
      <c r="M94" s="2">
        <f t="shared" si="3"/>
        <v>130.06000000000006</v>
      </c>
      <c r="N94" t="str">
        <v>Low</v>
      </c>
      <c r="O94" t="s">
        <v>64</v>
      </c>
    </row>
    <row r="95" spans="1:15" x14ac:dyDescent="0.3">
      <c r="A95" t="s">
        <v>133</v>
      </c>
      <c r="B95" s="1">
        <v>45386</v>
      </c>
      <c r="C95" t="s">
        <v>1101</v>
      </c>
      <c r="D95" t="s">
        <v>72</v>
      </c>
      <c r="E95" t="s">
        <v>1242</v>
      </c>
      <c r="F95" t="s">
        <v>1280</v>
      </c>
      <c r="G95" t="s">
        <v>60</v>
      </c>
      <c r="H95" t="s">
        <v>53</v>
      </c>
      <c r="I95">
        <v>2</v>
      </c>
      <c r="J95" s="24">
        <v>232.25</v>
      </c>
      <c r="K95" s="24">
        <f t="shared" si="2"/>
        <v>464.5</v>
      </c>
      <c r="L95" s="24">
        <v>589.5</v>
      </c>
      <c r="M95" s="2">
        <f t="shared" si="3"/>
        <v>125</v>
      </c>
      <c r="N95" t="str">
        <v>Low</v>
      </c>
      <c r="O95" t="s">
        <v>65</v>
      </c>
    </row>
    <row r="96" spans="1:15" x14ac:dyDescent="0.3">
      <c r="A96" t="s">
        <v>134</v>
      </c>
      <c r="B96" s="1">
        <v>45387</v>
      </c>
      <c r="C96" t="s">
        <v>1117</v>
      </c>
      <c r="D96" t="s">
        <v>73</v>
      </c>
      <c r="E96" t="s">
        <v>1252</v>
      </c>
      <c r="F96" t="s">
        <v>1289</v>
      </c>
      <c r="G96" t="s">
        <v>60</v>
      </c>
      <c r="H96" t="s">
        <v>53</v>
      </c>
      <c r="I96">
        <v>1</v>
      </c>
      <c r="J96" s="24">
        <v>319.33</v>
      </c>
      <c r="K96" s="24">
        <f t="shared" si="2"/>
        <v>319.33</v>
      </c>
      <c r="L96" s="24">
        <v>373.79</v>
      </c>
      <c r="M96" s="2">
        <f t="shared" si="3"/>
        <v>54.460000000000036</v>
      </c>
      <c r="N96" t="str">
        <v>Low</v>
      </c>
      <c r="O96" t="s">
        <v>65</v>
      </c>
    </row>
    <row r="97" spans="1:15" x14ac:dyDescent="0.3">
      <c r="A97" t="s">
        <v>135</v>
      </c>
      <c r="B97" s="1">
        <v>45388</v>
      </c>
      <c r="C97" t="s">
        <v>1118</v>
      </c>
      <c r="D97" t="s">
        <v>73</v>
      </c>
      <c r="E97" t="s">
        <v>1243</v>
      </c>
      <c r="F97" t="s">
        <v>1261</v>
      </c>
      <c r="G97" t="s">
        <v>60</v>
      </c>
      <c r="H97" t="s">
        <v>51</v>
      </c>
      <c r="I97">
        <v>5</v>
      </c>
      <c r="J97" s="24">
        <v>356.36</v>
      </c>
      <c r="K97" s="24">
        <f t="shared" si="2"/>
        <v>1781.8000000000002</v>
      </c>
      <c r="L97" s="24">
        <v>2064.25</v>
      </c>
      <c r="M97" s="2">
        <f t="shared" si="3"/>
        <v>282.44999999999982</v>
      </c>
      <c r="N97" t="str">
        <v>High</v>
      </c>
      <c r="O97" t="s">
        <v>65</v>
      </c>
    </row>
    <row r="98" spans="1:15" x14ac:dyDescent="0.3">
      <c r="A98" t="s">
        <v>136</v>
      </c>
      <c r="B98" s="1">
        <v>45389</v>
      </c>
      <c r="C98" t="s">
        <v>1119</v>
      </c>
      <c r="D98" t="s">
        <v>72</v>
      </c>
      <c r="E98" t="s">
        <v>1242</v>
      </c>
      <c r="F98" t="s">
        <v>1288</v>
      </c>
      <c r="G98" t="s">
        <v>60</v>
      </c>
      <c r="H98" t="s">
        <v>53</v>
      </c>
      <c r="I98">
        <v>9</v>
      </c>
      <c r="J98" s="24">
        <v>448.55</v>
      </c>
      <c r="K98" s="24">
        <f t="shared" si="2"/>
        <v>4036.9500000000003</v>
      </c>
      <c r="L98" s="24">
        <v>5258.94</v>
      </c>
      <c r="M98" s="2">
        <f t="shared" si="3"/>
        <v>1221.9899999999993</v>
      </c>
      <c r="N98" t="str">
        <v>High</v>
      </c>
      <c r="O98" t="s">
        <v>63</v>
      </c>
    </row>
    <row r="99" spans="1:15" x14ac:dyDescent="0.3">
      <c r="A99" t="s">
        <v>137</v>
      </c>
      <c r="B99" s="1">
        <v>45390</v>
      </c>
      <c r="C99" t="s">
        <v>1120</v>
      </c>
      <c r="D99" t="s">
        <v>71</v>
      </c>
      <c r="E99" t="s">
        <v>1254</v>
      </c>
      <c r="F99" t="s">
        <v>1307</v>
      </c>
      <c r="G99" t="s">
        <v>60</v>
      </c>
      <c r="H99" t="s">
        <v>54</v>
      </c>
      <c r="I99">
        <v>5</v>
      </c>
      <c r="J99" s="24">
        <v>73.849999999999994</v>
      </c>
      <c r="K99" s="24">
        <f t="shared" si="2"/>
        <v>369.25</v>
      </c>
      <c r="L99" s="24">
        <v>491.52</v>
      </c>
      <c r="M99" s="2">
        <f t="shared" si="3"/>
        <v>122.26999999999998</v>
      </c>
      <c r="N99" t="str">
        <v>Low</v>
      </c>
      <c r="O99" t="s">
        <v>63</v>
      </c>
    </row>
    <row r="100" spans="1:15" x14ac:dyDescent="0.3">
      <c r="A100" t="s">
        <v>138</v>
      </c>
      <c r="B100" s="1">
        <v>45391</v>
      </c>
      <c r="C100" t="s">
        <v>1091</v>
      </c>
      <c r="D100" t="s">
        <v>74</v>
      </c>
      <c r="E100" t="s">
        <v>1249</v>
      </c>
      <c r="F100" t="s">
        <v>1308</v>
      </c>
      <c r="G100" t="s">
        <v>60</v>
      </c>
      <c r="H100" t="s">
        <v>53</v>
      </c>
      <c r="I100">
        <v>5</v>
      </c>
      <c r="J100" s="24">
        <v>482.02</v>
      </c>
      <c r="K100" s="24">
        <f t="shared" si="2"/>
        <v>2410.1</v>
      </c>
      <c r="L100" s="24">
        <v>3209.66</v>
      </c>
      <c r="M100" s="2">
        <f t="shared" si="3"/>
        <v>799.56</v>
      </c>
      <c r="N100" t="str">
        <v>High</v>
      </c>
      <c r="O100" t="s">
        <v>63</v>
      </c>
    </row>
    <row r="101" spans="1:15" x14ac:dyDescent="0.3">
      <c r="A101" t="s">
        <v>139</v>
      </c>
      <c r="B101" s="1">
        <v>45392</v>
      </c>
      <c r="C101" t="s">
        <v>1121</v>
      </c>
      <c r="D101" t="s">
        <v>71</v>
      </c>
      <c r="E101" t="s">
        <v>1254</v>
      </c>
      <c r="F101" t="s">
        <v>1307</v>
      </c>
      <c r="G101" t="s">
        <v>60</v>
      </c>
      <c r="H101" t="s">
        <v>54</v>
      </c>
      <c r="I101">
        <v>6</v>
      </c>
      <c r="J101" s="24">
        <v>478.28</v>
      </c>
      <c r="K101" s="24">
        <f t="shared" si="2"/>
        <v>2869.68</v>
      </c>
      <c r="L101" s="24">
        <v>3851.7</v>
      </c>
      <c r="M101" s="2">
        <f t="shared" si="3"/>
        <v>982.02</v>
      </c>
      <c r="N101" t="str">
        <v>High</v>
      </c>
      <c r="O101" t="s">
        <v>63</v>
      </c>
    </row>
    <row r="102" spans="1:15" x14ac:dyDescent="0.3">
      <c r="A102" t="s">
        <v>140</v>
      </c>
      <c r="B102" s="1">
        <v>45393</v>
      </c>
      <c r="C102" t="s">
        <v>1122</v>
      </c>
      <c r="D102" t="s">
        <v>71</v>
      </c>
      <c r="E102" t="s">
        <v>1254</v>
      </c>
      <c r="F102" t="s">
        <v>1292</v>
      </c>
      <c r="G102" t="s">
        <v>60</v>
      </c>
      <c r="H102" t="s">
        <v>53</v>
      </c>
      <c r="I102">
        <v>6</v>
      </c>
      <c r="J102" s="24">
        <v>449.32</v>
      </c>
      <c r="K102" s="24">
        <f t="shared" si="2"/>
        <v>2695.92</v>
      </c>
      <c r="L102" s="24">
        <v>3334.86</v>
      </c>
      <c r="M102" s="2">
        <f t="shared" si="3"/>
        <v>638.94000000000005</v>
      </c>
      <c r="N102" t="str">
        <v>High</v>
      </c>
      <c r="O102" t="s">
        <v>63</v>
      </c>
    </row>
    <row r="103" spans="1:15" x14ac:dyDescent="0.3">
      <c r="A103" t="s">
        <v>141</v>
      </c>
      <c r="B103" s="1">
        <v>45394</v>
      </c>
      <c r="C103" t="s">
        <v>1123</v>
      </c>
      <c r="D103" t="s">
        <v>72</v>
      </c>
      <c r="E103" t="s">
        <v>1245</v>
      </c>
      <c r="F103" t="s">
        <v>1277</v>
      </c>
      <c r="G103" t="s">
        <v>60</v>
      </c>
      <c r="H103" t="s">
        <v>54</v>
      </c>
      <c r="I103">
        <v>2</v>
      </c>
      <c r="J103" s="24">
        <v>277.57</v>
      </c>
      <c r="K103" s="24">
        <f t="shared" si="2"/>
        <v>555.14</v>
      </c>
      <c r="L103" s="24">
        <v>631.34</v>
      </c>
      <c r="M103" s="2">
        <f t="shared" si="3"/>
        <v>76.200000000000045</v>
      </c>
      <c r="N103" t="str">
        <v>Low</v>
      </c>
      <c r="O103" t="s">
        <v>63</v>
      </c>
    </row>
    <row r="104" spans="1:15" x14ac:dyDescent="0.3">
      <c r="A104" t="s">
        <v>142</v>
      </c>
      <c r="B104" s="1">
        <v>45395</v>
      </c>
      <c r="C104" t="s">
        <v>1045</v>
      </c>
      <c r="D104" t="s">
        <v>71</v>
      </c>
      <c r="E104" t="s">
        <v>1240</v>
      </c>
      <c r="F104" t="s">
        <v>1275</v>
      </c>
      <c r="G104" t="s">
        <v>60</v>
      </c>
      <c r="H104" t="s">
        <v>53</v>
      </c>
      <c r="I104">
        <v>4</v>
      </c>
      <c r="J104" s="24">
        <v>21.69</v>
      </c>
      <c r="K104" s="24">
        <f t="shared" si="2"/>
        <v>86.76</v>
      </c>
      <c r="L104" s="24">
        <v>100.02</v>
      </c>
      <c r="M104" s="2">
        <f t="shared" si="3"/>
        <v>13.259999999999991</v>
      </c>
      <c r="N104" t="str">
        <v>Low</v>
      </c>
      <c r="O104" t="s">
        <v>65</v>
      </c>
    </row>
    <row r="105" spans="1:15" x14ac:dyDescent="0.3">
      <c r="A105" t="s">
        <v>143</v>
      </c>
      <c r="B105" s="1">
        <v>45396</v>
      </c>
      <c r="C105" t="s">
        <v>1076</v>
      </c>
      <c r="D105" t="s">
        <v>73</v>
      </c>
      <c r="E105" t="s">
        <v>1250</v>
      </c>
      <c r="F105" t="s">
        <v>1309</v>
      </c>
      <c r="G105" t="s">
        <v>60</v>
      </c>
      <c r="H105" t="s">
        <v>52</v>
      </c>
      <c r="I105">
        <v>7</v>
      </c>
      <c r="J105" s="24">
        <v>365.29</v>
      </c>
      <c r="K105" s="24">
        <f t="shared" si="2"/>
        <v>2557.0300000000002</v>
      </c>
      <c r="L105" s="24">
        <v>2928.67</v>
      </c>
      <c r="M105" s="2">
        <f t="shared" si="3"/>
        <v>371.63999999999987</v>
      </c>
      <c r="N105" t="str">
        <v>High</v>
      </c>
      <c r="O105" t="s">
        <v>63</v>
      </c>
    </row>
    <row r="106" spans="1:15" x14ac:dyDescent="0.3">
      <c r="A106" t="s">
        <v>144</v>
      </c>
      <c r="B106" s="1">
        <v>45397</v>
      </c>
      <c r="C106" t="s">
        <v>1089</v>
      </c>
      <c r="D106" t="s">
        <v>1255</v>
      </c>
      <c r="E106" t="s">
        <v>59</v>
      </c>
      <c r="F106" t="s">
        <v>1310</v>
      </c>
      <c r="G106" t="s">
        <v>60</v>
      </c>
      <c r="H106" t="s">
        <v>52</v>
      </c>
      <c r="I106">
        <v>4</v>
      </c>
      <c r="J106" s="24">
        <v>363.12</v>
      </c>
      <c r="K106" s="24">
        <f t="shared" si="2"/>
        <v>1452.48</v>
      </c>
      <c r="L106" s="24">
        <v>1760.97</v>
      </c>
      <c r="M106" s="2">
        <f t="shared" si="3"/>
        <v>308.49</v>
      </c>
      <c r="N106" t="str">
        <v>Low</v>
      </c>
      <c r="O106" t="s">
        <v>65</v>
      </c>
    </row>
    <row r="107" spans="1:15" x14ac:dyDescent="0.3">
      <c r="A107" t="s">
        <v>145</v>
      </c>
      <c r="B107" s="1">
        <v>45398</v>
      </c>
      <c r="C107" t="s">
        <v>1112</v>
      </c>
      <c r="D107" t="s">
        <v>73</v>
      </c>
      <c r="E107" t="s">
        <v>1252</v>
      </c>
      <c r="F107" t="s">
        <v>1297</v>
      </c>
      <c r="G107" t="s">
        <v>60</v>
      </c>
      <c r="H107" t="s">
        <v>54</v>
      </c>
      <c r="I107">
        <v>4</v>
      </c>
      <c r="J107" s="24">
        <v>266.58999999999997</v>
      </c>
      <c r="K107" s="24">
        <f t="shared" si="2"/>
        <v>1066.3599999999999</v>
      </c>
      <c r="L107" s="24">
        <v>1496.28</v>
      </c>
      <c r="M107" s="2">
        <f t="shared" si="3"/>
        <v>429.92000000000007</v>
      </c>
      <c r="N107" t="str">
        <v>Low</v>
      </c>
      <c r="O107" t="s">
        <v>64</v>
      </c>
    </row>
    <row r="108" spans="1:15" x14ac:dyDescent="0.3">
      <c r="A108" t="s">
        <v>146</v>
      </c>
      <c r="B108" s="1">
        <v>45399</v>
      </c>
      <c r="C108" t="s">
        <v>1104</v>
      </c>
      <c r="D108" t="s">
        <v>73</v>
      </c>
      <c r="E108" t="s">
        <v>1252</v>
      </c>
      <c r="F108" t="s">
        <v>1311</v>
      </c>
      <c r="G108" t="s">
        <v>60</v>
      </c>
      <c r="H108" t="s">
        <v>54</v>
      </c>
      <c r="I108">
        <v>9</v>
      </c>
      <c r="J108" s="24">
        <v>120.7</v>
      </c>
      <c r="K108" s="24">
        <f t="shared" si="2"/>
        <v>1086.3</v>
      </c>
      <c r="L108" s="24">
        <v>1320.04</v>
      </c>
      <c r="M108" s="2">
        <f t="shared" si="3"/>
        <v>233.74</v>
      </c>
      <c r="N108" t="str">
        <v>Low</v>
      </c>
      <c r="O108" t="s">
        <v>65</v>
      </c>
    </row>
    <row r="109" spans="1:15" x14ac:dyDescent="0.3">
      <c r="A109" t="s">
        <v>147</v>
      </c>
      <c r="B109" s="1">
        <v>45400</v>
      </c>
      <c r="C109" t="s">
        <v>1124</v>
      </c>
      <c r="D109" t="s">
        <v>71</v>
      </c>
      <c r="E109" t="s">
        <v>1248</v>
      </c>
      <c r="F109" t="s">
        <v>1271</v>
      </c>
      <c r="G109" t="s">
        <v>60</v>
      </c>
      <c r="H109" t="s">
        <v>51</v>
      </c>
      <c r="I109">
        <v>6</v>
      </c>
      <c r="J109" s="24">
        <v>462.04</v>
      </c>
      <c r="K109" s="24">
        <f t="shared" si="2"/>
        <v>2772.2400000000002</v>
      </c>
      <c r="L109" s="24">
        <v>3588.56</v>
      </c>
      <c r="M109" s="2">
        <f t="shared" si="3"/>
        <v>816.31999999999971</v>
      </c>
      <c r="N109" t="str">
        <v>High</v>
      </c>
      <c r="O109" t="s">
        <v>64</v>
      </c>
    </row>
    <row r="110" spans="1:15" x14ac:dyDescent="0.3">
      <c r="A110" t="s">
        <v>148</v>
      </c>
      <c r="B110" s="1">
        <v>45401</v>
      </c>
      <c r="C110" t="s">
        <v>1125</v>
      </c>
      <c r="D110" t="s">
        <v>72</v>
      </c>
      <c r="E110" t="s">
        <v>1242</v>
      </c>
      <c r="F110" t="s">
        <v>1259</v>
      </c>
      <c r="G110" t="s">
        <v>60</v>
      </c>
      <c r="H110" t="s">
        <v>52</v>
      </c>
      <c r="I110">
        <v>10</v>
      </c>
      <c r="J110" s="24">
        <v>334.54</v>
      </c>
      <c r="K110" s="24">
        <f t="shared" si="2"/>
        <v>3345.4</v>
      </c>
      <c r="L110" s="24">
        <v>4706.6400000000003</v>
      </c>
      <c r="M110" s="2">
        <f t="shared" si="3"/>
        <v>1361.2400000000002</v>
      </c>
      <c r="N110" t="str">
        <v>High</v>
      </c>
      <c r="O110" t="s">
        <v>65</v>
      </c>
    </row>
    <row r="111" spans="1:15" x14ac:dyDescent="0.3">
      <c r="A111" t="s">
        <v>149</v>
      </c>
      <c r="B111" s="1">
        <v>45402</v>
      </c>
      <c r="C111" t="s">
        <v>1126</v>
      </c>
      <c r="D111" t="s">
        <v>72</v>
      </c>
      <c r="E111" t="s">
        <v>1245</v>
      </c>
      <c r="F111" t="s">
        <v>1265</v>
      </c>
      <c r="G111" t="s">
        <v>60</v>
      </c>
      <c r="H111" t="s">
        <v>53</v>
      </c>
      <c r="I111">
        <v>2</v>
      </c>
      <c r="J111" s="24">
        <v>489.41</v>
      </c>
      <c r="K111" s="24">
        <f t="shared" si="2"/>
        <v>978.82</v>
      </c>
      <c r="L111" s="24">
        <v>1110.07</v>
      </c>
      <c r="M111" s="2">
        <f t="shared" si="3"/>
        <v>131.24999999999989</v>
      </c>
      <c r="N111" t="str">
        <v>Low</v>
      </c>
      <c r="O111" t="s">
        <v>65</v>
      </c>
    </row>
    <row r="112" spans="1:15" x14ac:dyDescent="0.3">
      <c r="A112" t="s">
        <v>150</v>
      </c>
      <c r="B112" s="1">
        <v>45403</v>
      </c>
      <c r="C112" t="s">
        <v>1108</v>
      </c>
      <c r="D112" t="s">
        <v>72</v>
      </c>
      <c r="E112" t="s">
        <v>1246</v>
      </c>
      <c r="F112" t="s">
        <v>1293</v>
      </c>
      <c r="G112" t="s">
        <v>60</v>
      </c>
      <c r="H112" t="s">
        <v>51</v>
      </c>
      <c r="I112">
        <v>4</v>
      </c>
      <c r="J112" s="24">
        <v>298.83999999999997</v>
      </c>
      <c r="K112" s="24">
        <f t="shared" si="2"/>
        <v>1195.3599999999999</v>
      </c>
      <c r="L112" s="24">
        <v>1565.82</v>
      </c>
      <c r="M112" s="2">
        <f t="shared" si="3"/>
        <v>370.46000000000004</v>
      </c>
      <c r="N112" t="str">
        <v>Low</v>
      </c>
      <c r="O112" t="s">
        <v>63</v>
      </c>
    </row>
    <row r="113" spans="1:15" x14ac:dyDescent="0.3">
      <c r="A113" t="s">
        <v>151</v>
      </c>
      <c r="B113" s="1">
        <v>45404</v>
      </c>
      <c r="C113" t="s">
        <v>1127</v>
      </c>
      <c r="D113" t="s">
        <v>1255</v>
      </c>
      <c r="E113" t="s">
        <v>59</v>
      </c>
      <c r="F113" t="s">
        <v>1266</v>
      </c>
      <c r="G113" t="s">
        <v>60</v>
      </c>
      <c r="H113" t="s">
        <v>54</v>
      </c>
      <c r="I113">
        <v>4</v>
      </c>
      <c r="J113" s="24">
        <v>321.27999999999997</v>
      </c>
      <c r="K113" s="24">
        <f t="shared" si="2"/>
        <v>1285.1199999999999</v>
      </c>
      <c r="L113" s="24">
        <v>1813.19</v>
      </c>
      <c r="M113" s="2">
        <f t="shared" si="3"/>
        <v>528.07000000000016</v>
      </c>
      <c r="N113" t="str">
        <v>Low</v>
      </c>
      <c r="O113" t="s">
        <v>64</v>
      </c>
    </row>
    <row r="114" spans="1:15" x14ac:dyDescent="0.3">
      <c r="A114" t="s">
        <v>152</v>
      </c>
      <c r="B114" s="1">
        <v>45405</v>
      </c>
      <c r="C114" t="s">
        <v>1128</v>
      </c>
      <c r="D114" t="s">
        <v>71</v>
      </c>
      <c r="E114" t="s">
        <v>1241</v>
      </c>
      <c r="F114" t="s">
        <v>1312</v>
      </c>
      <c r="G114" t="s">
        <v>60</v>
      </c>
      <c r="H114" t="s">
        <v>51</v>
      </c>
      <c r="I114">
        <v>3</v>
      </c>
      <c r="J114" s="24">
        <v>146.71</v>
      </c>
      <c r="K114" s="24">
        <f t="shared" si="2"/>
        <v>440.13</v>
      </c>
      <c r="L114" s="24">
        <v>608.53</v>
      </c>
      <c r="M114" s="2">
        <f t="shared" si="3"/>
        <v>168.39999999999998</v>
      </c>
      <c r="N114" t="str">
        <v>Low</v>
      </c>
      <c r="O114" t="s">
        <v>65</v>
      </c>
    </row>
    <row r="115" spans="1:15" x14ac:dyDescent="0.3">
      <c r="A115" t="s">
        <v>153</v>
      </c>
      <c r="B115" s="1">
        <v>45406</v>
      </c>
      <c r="C115" t="s">
        <v>1129</v>
      </c>
      <c r="D115" t="s">
        <v>72</v>
      </c>
      <c r="E115" t="s">
        <v>1242</v>
      </c>
      <c r="F115" t="s">
        <v>1280</v>
      </c>
      <c r="G115" t="s">
        <v>60</v>
      </c>
      <c r="H115" t="s">
        <v>53</v>
      </c>
      <c r="I115">
        <v>6</v>
      </c>
      <c r="J115" s="24">
        <v>266.42</v>
      </c>
      <c r="K115" s="24">
        <f t="shared" si="2"/>
        <v>1598.52</v>
      </c>
      <c r="L115" s="24">
        <v>2030.15</v>
      </c>
      <c r="M115" s="2">
        <f t="shared" si="3"/>
        <v>431.63000000000011</v>
      </c>
      <c r="N115" t="str">
        <v>High</v>
      </c>
      <c r="O115" t="s">
        <v>65</v>
      </c>
    </row>
    <row r="116" spans="1:15" x14ac:dyDescent="0.3">
      <c r="A116" t="s">
        <v>154</v>
      </c>
      <c r="B116" s="1">
        <v>45407</v>
      </c>
      <c r="C116" t="s">
        <v>1085</v>
      </c>
      <c r="D116" t="s">
        <v>72</v>
      </c>
      <c r="E116" t="s">
        <v>1246</v>
      </c>
      <c r="F116" t="s">
        <v>1267</v>
      </c>
      <c r="G116" t="s">
        <v>60</v>
      </c>
      <c r="H116" t="s">
        <v>54</v>
      </c>
      <c r="I116">
        <v>9</v>
      </c>
      <c r="J116" s="24">
        <v>425.65</v>
      </c>
      <c r="K116" s="24">
        <f t="shared" si="2"/>
        <v>3830.85</v>
      </c>
      <c r="L116" s="24">
        <v>5125.41</v>
      </c>
      <c r="M116" s="2">
        <f t="shared" si="3"/>
        <v>1294.56</v>
      </c>
      <c r="N116" t="str">
        <v>High</v>
      </c>
      <c r="O116" t="s">
        <v>64</v>
      </c>
    </row>
    <row r="117" spans="1:15" x14ac:dyDescent="0.3">
      <c r="A117" t="s">
        <v>155</v>
      </c>
      <c r="B117" s="1">
        <v>45408</v>
      </c>
      <c r="C117" t="s">
        <v>1130</v>
      </c>
      <c r="D117" t="s">
        <v>71</v>
      </c>
      <c r="E117" t="s">
        <v>1240</v>
      </c>
      <c r="F117" t="s">
        <v>1258</v>
      </c>
      <c r="G117" t="s">
        <v>60</v>
      </c>
      <c r="H117" t="s">
        <v>54</v>
      </c>
      <c r="I117">
        <v>8</v>
      </c>
      <c r="J117" s="24">
        <v>383.91</v>
      </c>
      <c r="K117" s="24">
        <f t="shared" si="2"/>
        <v>3071.28</v>
      </c>
      <c r="L117" s="24">
        <v>4134.32</v>
      </c>
      <c r="M117" s="2">
        <f t="shared" si="3"/>
        <v>1063.0399999999995</v>
      </c>
      <c r="N117" t="str">
        <v>High</v>
      </c>
      <c r="O117" t="s">
        <v>65</v>
      </c>
    </row>
    <row r="118" spans="1:15" x14ac:dyDescent="0.3">
      <c r="A118" t="s">
        <v>156</v>
      </c>
      <c r="B118" s="1">
        <v>45409</v>
      </c>
      <c r="C118" t="s">
        <v>1131</v>
      </c>
      <c r="D118" t="s">
        <v>74</v>
      </c>
      <c r="E118" t="s">
        <v>1244</v>
      </c>
      <c r="F118" t="s">
        <v>58</v>
      </c>
      <c r="G118" t="s">
        <v>60</v>
      </c>
      <c r="H118" t="s">
        <v>52</v>
      </c>
      <c r="I118">
        <v>4</v>
      </c>
      <c r="J118" s="24">
        <v>162.26</v>
      </c>
      <c r="K118" s="24">
        <f t="shared" si="2"/>
        <v>649.04</v>
      </c>
      <c r="L118" s="24">
        <v>751.93</v>
      </c>
      <c r="M118" s="2">
        <f t="shared" si="3"/>
        <v>102.88999999999999</v>
      </c>
      <c r="N118" t="str">
        <v>Low</v>
      </c>
      <c r="O118" t="s">
        <v>63</v>
      </c>
    </row>
    <row r="119" spans="1:15" x14ac:dyDescent="0.3">
      <c r="A119" t="s">
        <v>157</v>
      </c>
      <c r="B119" s="1">
        <v>45410</v>
      </c>
      <c r="C119" t="s">
        <v>1074</v>
      </c>
      <c r="D119" t="s">
        <v>72</v>
      </c>
      <c r="E119" t="s">
        <v>1242</v>
      </c>
      <c r="F119" t="s">
        <v>1259</v>
      </c>
      <c r="G119" t="s">
        <v>60</v>
      </c>
      <c r="H119" t="s">
        <v>53</v>
      </c>
      <c r="I119">
        <v>2</v>
      </c>
      <c r="J119" s="24">
        <v>117.49</v>
      </c>
      <c r="K119" s="24">
        <f t="shared" si="2"/>
        <v>234.98</v>
      </c>
      <c r="L119" s="24">
        <v>302.08999999999997</v>
      </c>
      <c r="M119" s="2">
        <f t="shared" si="3"/>
        <v>67.109999999999985</v>
      </c>
      <c r="N119" t="str">
        <v>Low</v>
      </c>
      <c r="O119" t="s">
        <v>63</v>
      </c>
    </row>
    <row r="120" spans="1:15" x14ac:dyDescent="0.3">
      <c r="A120" t="s">
        <v>158</v>
      </c>
      <c r="B120" s="1">
        <v>45411</v>
      </c>
      <c r="C120" t="s">
        <v>1092</v>
      </c>
      <c r="D120" t="s">
        <v>1255</v>
      </c>
      <c r="E120" t="s">
        <v>59</v>
      </c>
      <c r="F120" t="s">
        <v>1310</v>
      </c>
      <c r="G120" t="s">
        <v>60</v>
      </c>
      <c r="H120" t="s">
        <v>53</v>
      </c>
      <c r="I120">
        <v>4</v>
      </c>
      <c r="J120" s="24">
        <v>181.2</v>
      </c>
      <c r="K120" s="24">
        <f t="shared" si="2"/>
        <v>724.8</v>
      </c>
      <c r="L120" s="24">
        <v>834.67</v>
      </c>
      <c r="M120" s="2">
        <f t="shared" si="3"/>
        <v>109.87</v>
      </c>
      <c r="N120" t="str">
        <v>Low</v>
      </c>
      <c r="O120" t="s">
        <v>63</v>
      </c>
    </row>
    <row r="121" spans="1:15" x14ac:dyDescent="0.3">
      <c r="A121" t="s">
        <v>159</v>
      </c>
      <c r="B121" s="1">
        <v>45412</v>
      </c>
      <c r="C121" t="s">
        <v>1071</v>
      </c>
      <c r="D121" t="s">
        <v>71</v>
      </c>
      <c r="E121" t="s">
        <v>1254</v>
      </c>
      <c r="F121" t="s">
        <v>1307</v>
      </c>
      <c r="G121" t="s">
        <v>60</v>
      </c>
      <c r="H121" t="s">
        <v>53</v>
      </c>
      <c r="I121">
        <v>3</v>
      </c>
      <c r="J121" s="24">
        <v>482.02</v>
      </c>
      <c r="K121" s="24">
        <f t="shared" si="2"/>
        <v>1446.06</v>
      </c>
      <c r="L121" s="24">
        <v>1593.33</v>
      </c>
      <c r="M121" s="2">
        <f t="shared" si="3"/>
        <v>147.26999999999998</v>
      </c>
      <c r="N121" t="str">
        <v>Low</v>
      </c>
      <c r="O121" t="s">
        <v>63</v>
      </c>
    </row>
    <row r="122" spans="1:15" x14ac:dyDescent="0.3">
      <c r="A122" t="s">
        <v>160</v>
      </c>
      <c r="B122" s="1">
        <v>45413</v>
      </c>
      <c r="C122" t="s">
        <v>1118</v>
      </c>
      <c r="D122" t="s">
        <v>72</v>
      </c>
      <c r="E122" t="s">
        <v>1253</v>
      </c>
      <c r="F122" t="s">
        <v>1313</v>
      </c>
      <c r="G122" t="s">
        <v>60</v>
      </c>
      <c r="H122" t="s">
        <v>51</v>
      </c>
      <c r="I122">
        <v>9</v>
      </c>
      <c r="J122" s="24">
        <v>218.72</v>
      </c>
      <c r="K122" s="24">
        <f t="shared" si="2"/>
        <v>1968.48</v>
      </c>
      <c r="L122" s="24">
        <v>2261.83</v>
      </c>
      <c r="M122" s="2">
        <f t="shared" si="3"/>
        <v>293.34999999999991</v>
      </c>
      <c r="N122" t="str">
        <v>High</v>
      </c>
      <c r="O122" t="s">
        <v>64</v>
      </c>
    </row>
    <row r="123" spans="1:15" x14ac:dyDescent="0.3">
      <c r="A123" t="s">
        <v>161</v>
      </c>
      <c r="B123" s="1">
        <v>45414</v>
      </c>
      <c r="C123" t="s">
        <v>1132</v>
      </c>
      <c r="D123" t="s">
        <v>74</v>
      </c>
      <c r="E123" t="s">
        <v>1247</v>
      </c>
      <c r="F123" t="s">
        <v>1268</v>
      </c>
      <c r="G123" t="s">
        <v>60</v>
      </c>
      <c r="H123" t="s">
        <v>54</v>
      </c>
      <c r="I123">
        <v>2</v>
      </c>
      <c r="J123" s="24">
        <v>208.79</v>
      </c>
      <c r="K123" s="24">
        <f t="shared" si="2"/>
        <v>417.58</v>
      </c>
      <c r="L123" s="24">
        <v>487.52</v>
      </c>
      <c r="M123" s="2">
        <f t="shared" si="3"/>
        <v>69.94</v>
      </c>
      <c r="N123" t="str">
        <v>Low</v>
      </c>
      <c r="O123" t="s">
        <v>65</v>
      </c>
    </row>
    <row r="124" spans="1:15" x14ac:dyDescent="0.3">
      <c r="A124" t="s">
        <v>162</v>
      </c>
      <c r="B124" s="1">
        <v>45415</v>
      </c>
      <c r="C124" t="s">
        <v>1047</v>
      </c>
      <c r="D124" t="s">
        <v>74</v>
      </c>
      <c r="E124" t="s">
        <v>1244</v>
      </c>
      <c r="F124" t="s">
        <v>1314</v>
      </c>
      <c r="G124" t="s">
        <v>60</v>
      </c>
      <c r="H124" t="s">
        <v>52</v>
      </c>
      <c r="I124">
        <v>5</v>
      </c>
      <c r="J124" s="24">
        <v>43.33</v>
      </c>
      <c r="K124" s="24">
        <f t="shared" si="2"/>
        <v>216.64999999999998</v>
      </c>
      <c r="L124" s="24">
        <v>267.31</v>
      </c>
      <c r="M124" s="2">
        <f t="shared" si="3"/>
        <v>50.660000000000025</v>
      </c>
      <c r="N124" t="str">
        <v>Low</v>
      </c>
      <c r="O124" t="s">
        <v>63</v>
      </c>
    </row>
    <row r="125" spans="1:15" x14ac:dyDescent="0.3">
      <c r="A125" t="s">
        <v>163</v>
      </c>
      <c r="B125" s="1">
        <v>45416</v>
      </c>
      <c r="C125" t="s">
        <v>1133</v>
      </c>
      <c r="D125" t="s">
        <v>71</v>
      </c>
      <c r="E125" t="s">
        <v>1241</v>
      </c>
      <c r="F125" t="s">
        <v>1312</v>
      </c>
      <c r="G125" t="s">
        <v>60</v>
      </c>
      <c r="H125" t="s">
        <v>52</v>
      </c>
      <c r="I125">
        <v>8</v>
      </c>
      <c r="J125" s="24">
        <v>194.12</v>
      </c>
      <c r="K125" s="24">
        <f t="shared" si="2"/>
        <v>1552.96</v>
      </c>
      <c r="L125" s="24">
        <v>1879.45</v>
      </c>
      <c r="M125" s="2">
        <f t="shared" si="3"/>
        <v>326.49</v>
      </c>
      <c r="N125" t="str">
        <v>Low</v>
      </c>
      <c r="O125" t="s">
        <v>64</v>
      </c>
    </row>
    <row r="126" spans="1:15" x14ac:dyDescent="0.3">
      <c r="A126" t="s">
        <v>164</v>
      </c>
      <c r="B126" s="1">
        <v>45417</v>
      </c>
      <c r="C126" t="s">
        <v>1134</v>
      </c>
      <c r="D126" t="s">
        <v>71</v>
      </c>
      <c r="E126" t="s">
        <v>1251</v>
      </c>
      <c r="F126" t="s">
        <v>1315</v>
      </c>
      <c r="G126" t="s">
        <v>60</v>
      </c>
      <c r="H126" t="s">
        <v>53</v>
      </c>
      <c r="I126">
        <v>4</v>
      </c>
      <c r="J126" s="24">
        <v>112.41</v>
      </c>
      <c r="K126" s="24">
        <f t="shared" si="2"/>
        <v>449.64</v>
      </c>
      <c r="L126" s="24">
        <v>548.35</v>
      </c>
      <c r="M126" s="2">
        <f t="shared" si="3"/>
        <v>98.710000000000036</v>
      </c>
      <c r="N126" t="str">
        <v>Low</v>
      </c>
      <c r="O126" t="s">
        <v>63</v>
      </c>
    </row>
    <row r="127" spans="1:15" x14ac:dyDescent="0.3">
      <c r="A127" t="s">
        <v>165</v>
      </c>
      <c r="B127" s="1">
        <v>45418</v>
      </c>
      <c r="C127" t="s">
        <v>1098</v>
      </c>
      <c r="D127" t="s">
        <v>71</v>
      </c>
      <c r="E127" t="s">
        <v>1254</v>
      </c>
      <c r="F127" t="s">
        <v>1307</v>
      </c>
      <c r="G127" t="s">
        <v>60</v>
      </c>
      <c r="H127" t="s">
        <v>52</v>
      </c>
      <c r="I127">
        <v>4</v>
      </c>
      <c r="J127" s="24">
        <v>37.18</v>
      </c>
      <c r="K127" s="24">
        <f t="shared" si="2"/>
        <v>148.72</v>
      </c>
      <c r="L127" s="24">
        <v>216.16</v>
      </c>
      <c r="M127" s="2">
        <f t="shared" si="3"/>
        <v>67.44</v>
      </c>
      <c r="N127" t="str">
        <v>Low</v>
      </c>
      <c r="O127" t="s">
        <v>65</v>
      </c>
    </row>
    <row r="128" spans="1:15" x14ac:dyDescent="0.3">
      <c r="A128" t="s">
        <v>166</v>
      </c>
      <c r="B128" s="1">
        <v>45419</v>
      </c>
      <c r="C128" t="s">
        <v>1135</v>
      </c>
      <c r="D128" t="s">
        <v>72</v>
      </c>
      <c r="E128" t="s">
        <v>1245</v>
      </c>
      <c r="F128" t="s">
        <v>1305</v>
      </c>
      <c r="G128" t="s">
        <v>60</v>
      </c>
      <c r="H128" t="s">
        <v>54</v>
      </c>
      <c r="I128">
        <v>3</v>
      </c>
      <c r="J128" s="24">
        <v>177.42</v>
      </c>
      <c r="K128" s="24">
        <f t="shared" si="2"/>
        <v>532.26</v>
      </c>
      <c r="L128" s="24">
        <v>787.35</v>
      </c>
      <c r="M128" s="2">
        <f t="shared" si="3"/>
        <v>255.09000000000003</v>
      </c>
      <c r="N128" t="str">
        <v>Low</v>
      </c>
      <c r="O128" t="s">
        <v>63</v>
      </c>
    </row>
    <row r="129" spans="1:15" x14ac:dyDescent="0.3">
      <c r="A129" t="s">
        <v>167</v>
      </c>
      <c r="B129" s="1">
        <v>45420</v>
      </c>
      <c r="C129" t="s">
        <v>1059</v>
      </c>
      <c r="D129" t="s">
        <v>72</v>
      </c>
      <c r="E129" t="s">
        <v>1245</v>
      </c>
      <c r="F129" t="s">
        <v>1277</v>
      </c>
      <c r="G129" t="s">
        <v>60</v>
      </c>
      <c r="H129" t="s">
        <v>53</v>
      </c>
      <c r="I129">
        <v>1</v>
      </c>
      <c r="J129" s="24">
        <v>198.36</v>
      </c>
      <c r="K129" s="24">
        <f t="shared" si="2"/>
        <v>198.36</v>
      </c>
      <c r="L129" s="24">
        <v>243.27</v>
      </c>
      <c r="M129" s="2">
        <f t="shared" si="3"/>
        <v>44.91</v>
      </c>
      <c r="N129" t="str">
        <v>Low</v>
      </c>
      <c r="O129" t="s">
        <v>65</v>
      </c>
    </row>
    <row r="130" spans="1:15" x14ac:dyDescent="0.3">
      <c r="A130" t="s">
        <v>168</v>
      </c>
      <c r="B130" s="1">
        <v>45421</v>
      </c>
      <c r="C130" t="s">
        <v>1136</v>
      </c>
      <c r="D130" t="s">
        <v>73</v>
      </c>
      <c r="E130" t="s">
        <v>1252</v>
      </c>
      <c r="F130" t="s">
        <v>1289</v>
      </c>
      <c r="G130" t="s">
        <v>60</v>
      </c>
      <c r="H130" t="s">
        <v>53</v>
      </c>
      <c r="I130">
        <v>8</v>
      </c>
      <c r="J130" s="24">
        <v>386.27</v>
      </c>
      <c r="K130" s="24">
        <f t="shared" si="2"/>
        <v>3090.16</v>
      </c>
      <c r="L130" s="24">
        <v>3721.82</v>
      </c>
      <c r="M130" s="2">
        <f t="shared" si="3"/>
        <v>631.66000000000031</v>
      </c>
      <c r="N130" t="str">
        <v>High</v>
      </c>
      <c r="O130" t="s">
        <v>64</v>
      </c>
    </row>
    <row r="131" spans="1:15" x14ac:dyDescent="0.3">
      <c r="A131" t="s">
        <v>169</v>
      </c>
      <c r="B131" s="1">
        <v>45422</v>
      </c>
      <c r="C131" t="s">
        <v>1137</v>
      </c>
      <c r="D131" t="s">
        <v>73</v>
      </c>
      <c r="E131" t="s">
        <v>1252</v>
      </c>
      <c r="F131" t="s">
        <v>1297</v>
      </c>
      <c r="G131" t="s">
        <v>60</v>
      </c>
      <c r="H131" t="s">
        <v>52</v>
      </c>
      <c r="I131">
        <v>4</v>
      </c>
      <c r="J131" s="24">
        <v>460.84</v>
      </c>
      <c r="K131" s="24">
        <f t="shared" ref="K131:K194" si="4">J131*I131</f>
        <v>1843.36</v>
      </c>
      <c r="L131" s="24">
        <v>2481.9</v>
      </c>
      <c r="M131" s="2">
        <f t="shared" ref="M131:M194" si="5">L131-K131</f>
        <v>638.54000000000019</v>
      </c>
      <c r="N131" t="str">
        <v>High</v>
      </c>
      <c r="O131" t="s">
        <v>63</v>
      </c>
    </row>
    <row r="132" spans="1:15" x14ac:dyDescent="0.3">
      <c r="A132" t="s">
        <v>170</v>
      </c>
      <c r="B132" s="1">
        <v>45423</v>
      </c>
      <c r="C132" t="s">
        <v>1138</v>
      </c>
      <c r="D132" t="s">
        <v>71</v>
      </c>
      <c r="E132" t="s">
        <v>1254</v>
      </c>
      <c r="F132" t="s">
        <v>1304</v>
      </c>
      <c r="G132" t="s">
        <v>60</v>
      </c>
      <c r="H132" t="s">
        <v>52</v>
      </c>
      <c r="I132">
        <v>3</v>
      </c>
      <c r="J132" s="24">
        <v>130.53</v>
      </c>
      <c r="K132" s="24">
        <f t="shared" si="4"/>
        <v>391.59000000000003</v>
      </c>
      <c r="L132" s="24">
        <v>478.39</v>
      </c>
      <c r="M132" s="2">
        <f t="shared" si="5"/>
        <v>86.799999999999955</v>
      </c>
      <c r="N132" t="str">
        <v>Low</v>
      </c>
      <c r="O132" t="s">
        <v>65</v>
      </c>
    </row>
    <row r="133" spans="1:15" x14ac:dyDescent="0.3">
      <c r="A133" t="s">
        <v>171</v>
      </c>
      <c r="B133" s="1">
        <v>45424</v>
      </c>
      <c r="C133" t="s">
        <v>1139</v>
      </c>
      <c r="D133" t="s">
        <v>74</v>
      </c>
      <c r="E133" t="s">
        <v>1247</v>
      </c>
      <c r="F133" t="s">
        <v>1316</v>
      </c>
      <c r="G133" t="s">
        <v>60</v>
      </c>
      <c r="H133" t="s">
        <v>54</v>
      </c>
      <c r="I133">
        <v>2</v>
      </c>
      <c r="J133" s="24">
        <v>234.91</v>
      </c>
      <c r="K133" s="24">
        <f t="shared" si="4"/>
        <v>469.82</v>
      </c>
      <c r="L133" s="24">
        <v>604.12</v>
      </c>
      <c r="M133" s="2">
        <f t="shared" si="5"/>
        <v>134.30000000000001</v>
      </c>
      <c r="N133" t="str">
        <v>Low</v>
      </c>
      <c r="O133" t="s">
        <v>65</v>
      </c>
    </row>
    <row r="134" spans="1:15" x14ac:dyDescent="0.3">
      <c r="A134" t="s">
        <v>172</v>
      </c>
      <c r="B134" s="1">
        <v>45425</v>
      </c>
      <c r="C134" t="s">
        <v>1140</v>
      </c>
      <c r="D134" t="s">
        <v>73</v>
      </c>
      <c r="E134" t="s">
        <v>1243</v>
      </c>
      <c r="F134" t="s">
        <v>1290</v>
      </c>
      <c r="G134" t="s">
        <v>60</v>
      </c>
      <c r="H134" t="s">
        <v>51</v>
      </c>
      <c r="I134">
        <v>6</v>
      </c>
      <c r="J134" s="24">
        <v>64.66</v>
      </c>
      <c r="K134" s="24">
        <f t="shared" si="4"/>
        <v>387.96</v>
      </c>
      <c r="L134" s="24">
        <v>485.01</v>
      </c>
      <c r="M134" s="2">
        <f t="shared" si="5"/>
        <v>97.050000000000011</v>
      </c>
      <c r="N134" t="str">
        <v>Low</v>
      </c>
      <c r="O134" t="s">
        <v>64</v>
      </c>
    </row>
    <row r="135" spans="1:15" x14ac:dyDescent="0.3">
      <c r="A135" t="s">
        <v>173</v>
      </c>
      <c r="B135" s="1">
        <v>45426</v>
      </c>
      <c r="C135" t="s">
        <v>1141</v>
      </c>
      <c r="D135" t="s">
        <v>73</v>
      </c>
      <c r="E135" t="s">
        <v>1243</v>
      </c>
      <c r="F135" t="s">
        <v>1261</v>
      </c>
      <c r="G135" t="s">
        <v>60</v>
      </c>
      <c r="H135" t="s">
        <v>52</v>
      </c>
      <c r="I135">
        <v>9</v>
      </c>
      <c r="J135" s="24">
        <v>255.64</v>
      </c>
      <c r="K135" s="24">
        <f t="shared" si="4"/>
        <v>2300.7599999999998</v>
      </c>
      <c r="L135" s="24">
        <v>3433.41</v>
      </c>
      <c r="M135" s="2">
        <f t="shared" si="5"/>
        <v>1132.6500000000001</v>
      </c>
      <c r="N135" t="str">
        <v>High</v>
      </c>
      <c r="O135" t="s">
        <v>65</v>
      </c>
    </row>
    <row r="136" spans="1:15" x14ac:dyDescent="0.3">
      <c r="A136" t="s">
        <v>174</v>
      </c>
      <c r="B136" s="1">
        <v>45427</v>
      </c>
      <c r="C136" t="s">
        <v>1142</v>
      </c>
      <c r="D136" t="s">
        <v>73</v>
      </c>
      <c r="E136" t="s">
        <v>1243</v>
      </c>
      <c r="F136" t="s">
        <v>1290</v>
      </c>
      <c r="G136" t="s">
        <v>60</v>
      </c>
      <c r="H136" t="s">
        <v>53</v>
      </c>
      <c r="I136">
        <v>6</v>
      </c>
      <c r="J136" s="24">
        <v>102.62</v>
      </c>
      <c r="K136" s="24">
        <f t="shared" si="4"/>
        <v>615.72</v>
      </c>
      <c r="L136" s="24">
        <v>750.85</v>
      </c>
      <c r="M136" s="2">
        <f t="shared" si="5"/>
        <v>135.13</v>
      </c>
      <c r="N136" t="str">
        <v>Low</v>
      </c>
      <c r="O136" t="s">
        <v>65</v>
      </c>
    </row>
    <row r="137" spans="1:15" x14ac:dyDescent="0.3">
      <c r="A137" t="s">
        <v>175</v>
      </c>
      <c r="B137" s="1">
        <v>45428</v>
      </c>
      <c r="C137" t="s">
        <v>1143</v>
      </c>
      <c r="D137" t="s">
        <v>72</v>
      </c>
      <c r="E137" t="s">
        <v>1253</v>
      </c>
      <c r="F137" t="s">
        <v>1313</v>
      </c>
      <c r="G137" t="s">
        <v>60</v>
      </c>
      <c r="H137" t="s">
        <v>53</v>
      </c>
      <c r="I137">
        <v>8</v>
      </c>
      <c r="J137" s="24">
        <v>88.69</v>
      </c>
      <c r="K137" s="24">
        <f t="shared" si="4"/>
        <v>709.52</v>
      </c>
      <c r="L137" s="24">
        <v>791.61</v>
      </c>
      <c r="M137" s="2">
        <f t="shared" si="5"/>
        <v>82.090000000000032</v>
      </c>
      <c r="N137" t="str">
        <v>Low</v>
      </c>
      <c r="O137" t="s">
        <v>64</v>
      </c>
    </row>
    <row r="138" spans="1:15" x14ac:dyDescent="0.3">
      <c r="A138" t="s">
        <v>176</v>
      </c>
      <c r="B138" s="1">
        <v>45429</v>
      </c>
      <c r="C138" t="s">
        <v>1144</v>
      </c>
      <c r="D138" t="s">
        <v>72</v>
      </c>
      <c r="E138" t="s">
        <v>1242</v>
      </c>
      <c r="F138" t="s">
        <v>1294</v>
      </c>
      <c r="G138" t="s">
        <v>60</v>
      </c>
      <c r="H138" t="s">
        <v>54</v>
      </c>
      <c r="I138">
        <v>10</v>
      </c>
      <c r="J138" s="24">
        <v>440.02</v>
      </c>
      <c r="K138" s="24">
        <f t="shared" si="4"/>
        <v>4400.2</v>
      </c>
      <c r="L138" s="24">
        <v>5512.34</v>
      </c>
      <c r="M138" s="2">
        <f t="shared" si="5"/>
        <v>1112.1400000000003</v>
      </c>
      <c r="N138" t="str">
        <v>High</v>
      </c>
      <c r="O138" t="s">
        <v>63</v>
      </c>
    </row>
    <row r="139" spans="1:15" x14ac:dyDescent="0.3">
      <c r="A139" t="s">
        <v>177</v>
      </c>
      <c r="B139" s="1">
        <v>45430</v>
      </c>
      <c r="C139" t="s">
        <v>1088</v>
      </c>
      <c r="D139" t="s">
        <v>73</v>
      </c>
      <c r="E139" t="s">
        <v>1252</v>
      </c>
      <c r="F139" t="s">
        <v>1317</v>
      </c>
      <c r="G139" t="s">
        <v>60</v>
      </c>
      <c r="H139" t="s">
        <v>53</v>
      </c>
      <c r="I139">
        <v>8</v>
      </c>
      <c r="J139" s="24">
        <v>285.81</v>
      </c>
      <c r="K139" s="24">
        <f t="shared" si="4"/>
        <v>2286.48</v>
      </c>
      <c r="L139" s="24">
        <v>2651</v>
      </c>
      <c r="M139" s="2">
        <f t="shared" si="5"/>
        <v>364.52</v>
      </c>
      <c r="N139" t="str">
        <v>High</v>
      </c>
      <c r="O139" t="s">
        <v>65</v>
      </c>
    </row>
    <row r="140" spans="1:15" x14ac:dyDescent="0.3">
      <c r="A140" t="s">
        <v>178</v>
      </c>
      <c r="B140" s="1">
        <v>45431</v>
      </c>
      <c r="C140" t="s">
        <v>1109</v>
      </c>
      <c r="D140" t="s">
        <v>73</v>
      </c>
      <c r="E140" t="s">
        <v>1243</v>
      </c>
      <c r="F140" t="s">
        <v>1272</v>
      </c>
      <c r="G140" t="s">
        <v>60</v>
      </c>
      <c r="H140" t="s">
        <v>51</v>
      </c>
      <c r="I140">
        <v>10</v>
      </c>
      <c r="J140" s="24">
        <v>177.07</v>
      </c>
      <c r="K140" s="24">
        <f t="shared" si="4"/>
        <v>1770.6999999999998</v>
      </c>
      <c r="L140" s="24">
        <v>2128.35</v>
      </c>
      <c r="M140" s="2">
        <f t="shared" si="5"/>
        <v>357.65000000000009</v>
      </c>
      <c r="N140" t="str">
        <v>High</v>
      </c>
      <c r="O140" t="s">
        <v>64</v>
      </c>
    </row>
    <row r="141" spans="1:15" x14ac:dyDescent="0.3">
      <c r="A141" t="s">
        <v>179</v>
      </c>
      <c r="B141" s="1">
        <v>45432</v>
      </c>
      <c r="C141" t="s">
        <v>1051</v>
      </c>
      <c r="D141" t="s">
        <v>71</v>
      </c>
      <c r="E141" t="s">
        <v>1248</v>
      </c>
      <c r="F141" t="s">
        <v>1269</v>
      </c>
      <c r="G141" t="s">
        <v>60</v>
      </c>
      <c r="H141" t="s">
        <v>51</v>
      </c>
      <c r="I141">
        <v>10</v>
      </c>
      <c r="J141" s="24">
        <v>466.3</v>
      </c>
      <c r="K141" s="24">
        <f t="shared" si="4"/>
        <v>4663</v>
      </c>
      <c r="L141" s="24">
        <v>6138.91</v>
      </c>
      <c r="M141" s="2">
        <f t="shared" si="5"/>
        <v>1475.9099999999999</v>
      </c>
      <c r="N141" t="str">
        <v>High</v>
      </c>
      <c r="O141" t="s">
        <v>64</v>
      </c>
    </row>
    <row r="142" spans="1:15" x14ac:dyDescent="0.3">
      <c r="A142" t="s">
        <v>180</v>
      </c>
      <c r="B142" s="1">
        <v>45433</v>
      </c>
      <c r="C142" t="s">
        <v>1097</v>
      </c>
      <c r="D142" t="s">
        <v>72</v>
      </c>
      <c r="E142" t="s">
        <v>1245</v>
      </c>
      <c r="F142" t="s">
        <v>1305</v>
      </c>
      <c r="G142" t="s">
        <v>60</v>
      </c>
      <c r="H142" t="s">
        <v>54</v>
      </c>
      <c r="I142">
        <v>9</v>
      </c>
      <c r="J142" s="24">
        <v>465.1</v>
      </c>
      <c r="K142" s="24">
        <f t="shared" si="4"/>
        <v>4185.9000000000005</v>
      </c>
      <c r="L142" s="24">
        <v>6098.17</v>
      </c>
      <c r="M142" s="2">
        <f t="shared" si="5"/>
        <v>1912.2699999999995</v>
      </c>
      <c r="N142" t="str">
        <v>High</v>
      </c>
      <c r="O142" t="s">
        <v>64</v>
      </c>
    </row>
    <row r="143" spans="1:15" x14ac:dyDescent="0.3">
      <c r="A143" t="s">
        <v>181</v>
      </c>
      <c r="B143" s="1">
        <v>45434</v>
      </c>
      <c r="C143" t="s">
        <v>1145</v>
      </c>
      <c r="D143" t="s">
        <v>72</v>
      </c>
      <c r="E143" t="s">
        <v>1242</v>
      </c>
      <c r="F143" t="s">
        <v>1288</v>
      </c>
      <c r="G143" t="s">
        <v>60</v>
      </c>
      <c r="H143" t="s">
        <v>53</v>
      </c>
      <c r="I143">
        <v>10</v>
      </c>
      <c r="J143" s="24">
        <v>255.98</v>
      </c>
      <c r="K143" s="24">
        <f t="shared" si="4"/>
        <v>2559.7999999999997</v>
      </c>
      <c r="L143" s="24">
        <v>3111.47</v>
      </c>
      <c r="M143" s="2">
        <f t="shared" si="5"/>
        <v>551.67000000000007</v>
      </c>
      <c r="N143" t="str">
        <v>High</v>
      </c>
      <c r="O143" t="s">
        <v>64</v>
      </c>
    </row>
    <row r="144" spans="1:15" x14ac:dyDescent="0.3">
      <c r="A144" t="s">
        <v>182</v>
      </c>
      <c r="B144" s="1">
        <v>45435</v>
      </c>
      <c r="C144" t="s">
        <v>1103</v>
      </c>
      <c r="D144" t="s">
        <v>72</v>
      </c>
      <c r="E144" t="s">
        <v>1253</v>
      </c>
      <c r="F144" t="s">
        <v>1318</v>
      </c>
      <c r="G144" t="s">
        <v>60</v>
      </c>
      <c r="H144" t="s">
        <v>53</v>
      </c>
      <c r="I144">
        <v>5</v>
      </c>
      <c r="J144" s="24">
        <v>369.49</v>
      </c>
      <c r="K144" s="24">
        <f t="shared" si="4"/>
        <v>1847.45</v>
      </c>
      <c r="L144" s="24">
        <v>2067.46</v>
      </c>
      <c r="M144" s="2">
        <f t="shared" si="5"/>
        <v>220.01</v>
      </c>
      <c r="N144" t="str">
        <v>High</v>
      </c>
      <c r="O144" t="s">
        <v>63</v>
      </c>
    </row>
    <row r="145" spans="1:15" x14ac:dyDescent="0.3">
      <c r="A145" t="s">
        <v>183</v>
      </c>
      <c r="B145" s="1">
        <v>45436</v>
      </c>
      <c r="C145" t="s">
        <v>1084</v>
      </c>
      <c r="D145" t="s">
        <v>71</v>
      </c>
      <c r="E145" t="s">
        <v>1251</v>
      </c>
      <c r="F145" t="s">
        <v>1315</v>
      </c>
      <c r="G145" t="s">
        <v>60</v>
      </c>
      <c r="H145" t="s">
        <v>51</v>
      </c>
      <c r="I145">
        <v>8</v>
      </c>
      <c r="J145" s="24">
        <v>113.07</v>
      </c>
      <c r="K145" s="24">
        <f t="shared" si="4"/>
        <v>904.56</v>
      </c>
      <c r="L145" s="24">
        <v>1100.2</v>
      </c>
      <c r="M145" s="2">
        <f t="shared" si="5"/>
        <v>195.6400000000001</v>
      </c>
      <c r="N145" t="str">
        <v>Low</v>
      </c>
      <c r="O145" t="s">
        <v>65</v>
      </c>
    </row>
    <row r="146" spans="1:15" x14ac:dyDescent="0.3">
      <c r="A146" t="s">
        <v>184</v>
      </c>
      <c r="B146" s="1">
        <v>45437</v>
      </c>
      <c r="C146" t="s">
        <v>1053</v>
      </c>
      <c r="D146" t="s">
        <v>71</v>
      </c>
      <c r="E146" t="s">
        <v>1248</v>
      </c>
      <c r="F146" t="s">
        <v>1271</v>
      </c>
      <c r="G146" t="s">
        <v>60</v>
      </c>
      <c r="H146" t="s">
        <v>52</v>
      </c>
      <c r="I146">
        <v>6</v>
      </c>
      <c r="J146" s="24">
        <v>64.87</v>
      </c>
      <c r="K146" s="24">
        <f t="shared" si="4"/>
        <v>389.22</v>
      </c>
      <c r="L146" s="24">
        <v>468.46</v>
      </c>
      <c r="M146" s="2">
        <f t="shared" si="5"/>
        <v>79.239999999999952</v>
      </c>
      <c r="N146" t="str">
        <v>Low</v>
      </c>
      <c r="O146" t="s">
        <v>64</v>
      </c>
    </row>
    <row r="147" spans="1:15" x14ac:dyDescent="0.3">
      <c r="A147" t="s">
        <v>185</v>
      </c>
      <c r="B147" s="1">
        <v>45438</v>
      </c>
      <c r="C147" t="s">
        <v>1052</v>
      </c>
      <c r="D147" t="s">
        <v>74</v>
      </c>
      <c r="E147" t="s">
        <v>1244</v>
      </c>
      <c r="F147" t="s">
        <v>1314</v>
      </c>
      <c r="G147" t="s">
        <v>60</v>
      </c>
      <c r="H147" t="s">
        <v>53</v>
      </c>
      <c r="I147">
        <v>7</v>
      </c>
      <c r="J147" s="24">
        <v>26.88</v>
      </c>
      <c r="K147" s="24">
        <f t="shared" si="4"/>
        <v>188.16</v>
      </c>
      <c r="L147" s="24">
        <v>252.12</v>
      </c>
      <c r="M147" s="2">
        <f t="shared" si="5"/>
        <v>63.960000000000008</v>
      </c>
      <c r="N147" t="str">
        <v>Low</v>
      </c>
      <c r="O147" t="s">
        <v>65</v>
      </c>
    </row>
    <row r="148" spans="1:15" x14ac:dyDescent="0.3">
      <c r="A148" t="s">
        <v>186</v>
      </c>
      <c r="B148" s="1">
        <v>45439</v>
      </c>
      <c r="C148" t="s">
        <v>1146</v>
      </c>
      <c r="D148" t="s">
        <v>71</v>
      </c>
      <c r="E148" t="s">
        <v>1240</v>
      </c>
      <c r="F148" t="s">
        <v>1258</v>
      </c>
      <c r="G148" t="s">
        <v>60</v>
      </c>
      <c r="H148" t="s">
        <v>52</v>
      </c>
      <c r="I148">
        <v>9</v>
      </c>
      <c r="J148" s="24">
        <v>384.94</v>
      </c>
      <c r="K148" s="24">
        <f t="shared" si="4"/>
        <v>3464.46</v>
      </c>
      <c r="L148" s="24">
        <v>4188.57</v>
      </c>
      <c r="M148" s="2">
        <f t="shared" si="5"/>
        <v>724.10999999999967</v>
      </c>
      <c r="N148" t="str">
        <v>High</v>
      </c>
      <c r="O148" t="s">
        <v>64</v>
      </c>
    </row>
    <row r="149" spans="1:15" x14ac:dyDescent="0.3">
      <c r="A149" t="s">
        <v>187</v>
      </c>
      <c r="B149" s="1">
        <v>45440</v>
      </c>
      <c r="C149" t="s">
        <v>1110</v>
      </c>
      <c r="D149" t="s">
        <v>72</v>
      </c>
      <c r="E149" t="s">
        <v>1245</v>
      </c>
      <c r="F149" t="s">
        <v>1265</v>
      </c>
      <c r="G149" t="s">
        <v>60</v>
      </c>
      <c r="H149" t="s">
        <v>54</v>
      </c>
      <c r="I149">
        <v>6</v>
      </c>
      <c r="J149" s="24">
        <v>363.72</v>
      </c>
      <c r="K149" s="24">
        <f t="shared" si="4"/>
        <v>2182.3200000000002</v>
      </c>
      <c r="L149" s="24">
        <v>3225.64</v>
      </c>
      <c r="M149" s="2">
        <f t="shared" si="5"/>
        <v>1043.3199999999997</v>
      </c>
      <c r="N149" t="str">
        <v>High</v>
      </c>
      <c r="O149" t="s">
        <v>64</v>
      </c>
    </row>
    <row r="150" spans="1:15" x14ac:dyDescent="0.3">
      <c r="A150" t="s">
        <v>188</v>
      </c>
      <c r="B150" s="1">
        <v>45441</v>
      </c>
      <c r="C150" t="s">
        <v>1126</v>
      </c>
      <c r="D150" t="s">
        <v>71</v>
      </c>
      <c r="E150" t="s">
        <v>1241</v>
      </c>
      <c r="F150" t="s">
        <v>57</v>
      </c>
      <c r="G150" t="s">
        <v>60</v>
      </c>
      <c r="H150" t="s">
        <v>52</v>
      </c>
      <c r="I150">
        <v>7</v>
      </c>
      <c r="J150" s="24">
        <v>294.47000000000003</v>
      </c>
      <c r="K150" s="24">
        <f t="shared" si="4"/>
        <v>2061.29</v>
      </c>
      <c r="L150" s="24">
        <v>2561.4699999999998</v>
      </c>
      <c r="M150" s="2">
        <f t="shared" si="5"/>
        <v>500.17999999999984</v>
      </c>
      <c r="N150" t="str">
        <v>High</v>
      </c>
      <c r="O150" t="s">
        <v>65</v>
      </c>
    </row>
    <row r="151" spans="1:15" x14ac:dyDescent="0.3">
      <c r="A151" t="s">
        <v>189</v>
      </c>
      <c r="B151" s="1">
        <v>45442</v>
      </c>
      <c r="C151" t="s">
        <v>1130</v>
      </c>
      <c r="D151" t="s">
        <v>73</v>
      </c>
      <c r="E151" t="s">
        <v>1250</v>
      </c>
      <c r="F151" t="s">
        <v>1319</v>
      </c>
      <c r="G151" t="s">
        <v>60</v>
      </c>
      <c r="H151" t="s">
        <v>54</v>
      </c>
      <c r="I151">
        <v>1</v>
      </c>
      <c r="J151" s="24">
        <v>414.86</v>
      </c>
      <c r="K151" s="24">
        <f t="shared" si="4"/>
        <v>414.86</v>
      </c>
      <c r="L151" s="24">
        <v>613.69000000000005</v>
      </c>
      <c r="M151" s="2">
        <f t="shared" si="5"/>
        <v>198.83000000000004</v>
      </c>
      <c r="N151" t="str">
        <v>Low</v>
      </c>
      <c r="O151" t="s">
        <v>64</v>
      </c>
    </row>
    <row r="152" spans="1:15" x14ac:dyDescent="0.3">
      <c r="A152" t="s">
        <v>190</v>
      </c>
      <c r="B152" s="1">
        <v>45443</v>
      </c>
      <c r="C152" t="s">
        <v>1084</v>
      </c>
      <c r="D152" t="s">
        <v>72</v>
      </c>
      <c r="E152" t="s">
        <v>1242</v>
      </c>
      <c r="F152" t="s">
        <v>1288</v>
      </c>
      <c r="G152" t="s">
        <v>60</v>
      </c>
      <c r="H152" t="s">
        <v>51</v>
      </c>
      <c r="I152">
        <v>3</v>
      </c>
      <c r="J152" s="24">
        <v>375.22</v>
      </c>
      <c r="K152" s="24">
        <f t="shared" si="4"/>
        <v>1125.6600000000001</v>
      </c>
      <c r="L152" s="24">
        <v>1473.2</v>
      </c>
      <c r="M152" s="2">
        <f t="shared" si="5"/>
        <v>347.53999999999996</v>
      </c>
      <c r="N152" t="str">
        <v>Low</v>
      </c>
      <c r="O152" t="s">
        <v>64</v>
      </c>
    </row>
    <row r="153" spans="1:15" x14ac:dyDescent="0.3">
      <c r="A153" t="s">
        <v>191</v>
      </c>
      <c r="B153" s="1">
        <v>45444</v>
      </c>
      <c r="C153" t="s">
        <v>1075</v>
      </c>
      <c r="D153" t="s">
        <v>71</v>
      </c>
      <c r="E153" t="s">
        <v>1251</v>
      </c>
      <c r="F153" t="s">
        <v>1320</v>
      </c>
      <c r="G153" t="s">
        <v>60</v>
      </c>
      <c r="H153" t="s">
        <v>54</v>
      </c>
      <c r="I153">
        <v>9</v>
      </c>
      <c r="J153" s="24">
        <v>101.64</v>
      </c>
      <c r="K153" s="24">
        <f t="shared" si="4"/>
        <v>914.76</v>
      </c>
      <c r="L153" s="24">
        <v>1202.48</v>
      </c>
      <c r="M153" s="2">
        <f t="shared" si="5"/>
        <v>287.72000000000003</v>
      </c>
      <c r="N153" t="str">
        <v>Low</v>
      </c>
      <c r="O153" t="s">
        <v>63</v>
      </c>
    </row>
    <row r="154" spans="1:15" x14ac:dyDescent="0.3">
      <c r="A154" t="s">
        <v>192</v>
      </c>
      <c r="B154" s="1">
        <v>45445</v>
      </c>
      <c r="C154" t="s">
        <v>1044</v>
      </c>
      <c r="D154" t="s">
        <v>72</v>
      </c>
      <c r="E154" t="s">
        <v>1246</v>
      </c>
      <c r="F154" t="s">
        <v>1267</v>
      </c>
      <c r="G154" t="s">
        <v>60</v>
      </c>
      <c r="H154" t="s">
        <v>52</v>
      </c>
      <c r="I154">
        <v>7</v>
      </c>
      <c r="J154" s="24">
        <v>234.97</v>
      </c>
      <c r="K154" s="24">
        <f t="shared" si="4"/>
        <v>1644.79</v>
      </c>
      <c r="L154" s="24">
        <v>2258.23</v>
      </c>
      <c r="M154" s="2">
        <f t="shared" si="5"/>
        <v>613.44000000000005</v>
      </c>
      <c r="N154" t="str">
        <v>High</v>
      </c>
      <c r="O154" t="s">
        <v>64</v>
      </c>
    </row>
    <row r="155" spans="1:15" x14ac:dyDescent="0.3">
      <c r="A155" t="s">
        <v>193</v>
      </c>
      <c r="B155" s="1">
        <v>45446</v>
      </c>
      <c r="C155" t="s">
        <v>1147</v>
      </c>
      <c r="D155" t="s">
        <v>71</v>
      </c>
      <c r="E155" t="s">
        <v>1251</v>
      </c>
      <c r="F155" t="s">
        <v>1276</v>
      </c>
      <c r="G155" t="s">
        <v>60</v>
      </c>
      <c r="H155" t="s">
        <v>54</v>
      </c>
      <c r="I155">
        <v>7</v>
      </c>
      <c r="J155" s="24">
        <v>298.35000000000002</v>
      </c>
      <c r="K155" s="24">
        <f t="shared" si="4"/>
        <v>2088.4500000000003</v>
      </c>
      <c r="L155" s="24">
        <v>2635.58</v>
      </c>
      <c r="M155" s="2">
        <f t="shared" si="5"/>
        <v>547.12999999999965</v>
      </c>
      <c r="N155" t="str">
        <v>High</v>
      </c>
      <c r="O155" t="s">
        <v>65</v>
      </c>
    </row>
    <row r="156" spans="1:15" x14ac:dyDescent="0.3">
      <c r="A156" t="s">
        <v>194</v>
      </c>
      <c r="B156" s="1">
        <v>45447</v>
      </c>
      <c r="C156" t="s">
        <v>1087</v>
      </c>
      <c r="D156" t="s">
        <v>74</v>
      </c>
      <c r="E156" t="s">
        <v>1244</v>
      </c>
      <c r="F156" t="s">
        <v>1264</v>
      </c>
      <c r="G156" t="s">
        <v>60</v>
      </c>
      <c r="H156" t="s">
        <v>52</v>
      </c>
      <c r="I156">
        <v>8</v>
      </c>
      <c r="J156" s="24">
        <v>488.16</v>
      </c>
      <c r="K156" s="24">
        <f t="shared" si="4"/>
        <v>3905.28</v>
      </c>
      <c r="L156" s="24">
        <v>5741.5</v>
      </c>
      <c r="M156" s="2">
        <f t="shared" si="5"/>
        <v>1836.2199999999998</v>
      </c>
      <c r="N156" t="str">
        <v>High</v>
      </c>
      <c r="O156" t="s">
        <v>63</v>
      </c>
    </row>
    <row r="157" spans="1:15" x14ac:dyDescent="0.3">
      <c r="A157" t="s">
        <v>195</v>
      </c>
      <c r="B157" s="1">
        <v>45448</v>
      </c>
      <c r="C157" t="s">
        <v>1148</v>
      </c>
      <c r="D157" t="s">
        <v>71</v>
      </c>
      <c r="E157" t="s">
        <v>1251</v>
      </c>
      <c r="F157" t="s">
        <v>1279</v>
      </c>
      <c r="G157" t="s">
        <v>60</v>
      </c>
      <c r="H157" t="s">
        <v>54</v>
      </c>
      <c r="I157">
        <v>1</v>
      </c>
      <c r="J157" s="24">
        <v>249.24</v>
      </c>
      <c r="K157" s="24">
        <f t="shared" si="4"/>
        <v>249.24</v>
      </c>
      <c r="L157" s="24">
        <v>278.25</v>
      </c>
      <c r="M157" s="2">
        <f t="shared" si="5"/>
        <v>29.009999999999991</v>
      </c>
      <c r="N157" t="str">
        <v>Low</v>
      </c>
      <c r="O157" t="s">
        <v>65</v>
      </c>
    </row>
    <row r="158" spans="1:15" x14ac:dyDescent="0.3">
      <c r="A158" t="s">
        <v>196</v>
      </c>
      <c r="B158" s="1">
        <v>45449</v>
      </c>
      <c r="C158" t="s">
        <v>1149</v>
      </c>
      <c r="D158" t="s">
        <v>74</v>
      </c>
      <c r="E158" t="s">
        <v>1249</v>
      </c>
      <c r="F158" t="s">
        <v>1321</v>
      </c>
      <c r="G158" t="s">
        <v>60</v>
      </c>
      <c r="H158" t="s">
        <v>51</v>
      </c>
      <c r="I158">
        <v>1</v>
      </c>
      <c r="J158" s="24">
        <v>96.11</v>
      </c>
      <c r="K158" s="24">
        <f t="shared" si="4"/>
        <v>96.11</v>
      </c>
      <c r="L158" s="24">
        <v>125.05</v>
      </c>
      <c r="M158" s="2">
        <f t="shared" si="5"/>
        <v>28.939999999999998</v>
      </c>
      <c r="N158" t="str">
        <v>Low</v>
      </c>
      <c r="O158" t="s">
        <v>65</v>
      </c>
    </row>
    <row r="159" spans="1:15" x14ac:dyDescent="0.3">
      <c r="A159" t="s">
        <v>197</v>
      </c>
      <c r="B159" s="1">
        <v>45450</v>
      </c>
      <c r="C159" t="s">
        <v>1150</v>
      </c>
      <c r="D159" t="s">
        <v>71</v>
      </c>
      <c r="E159" t="s">
        <v>1240</v>
      </c>
      <c r="F159" t="s">
        <v>1258</v>
      </c>
      <c r="G159" t="s">
        <v>60</v>
      </c>
      <c r="H159" t="s">
        <v>51</v>
      </c>
      <c r="I159">
        <v>10</v>
      </c>
      <c r="J159" s="24">
        <v>102.82</v>
      </c>
      <c r="K159" s="24">
        <f t="shared" si="4"/>
        <v>1028.1999999999998</v>
      </c>
      <c r="L159" s="24">
        <v>1469.95</v>
      </c>
      <c r="M159" s="2">
        <f t="shared" si="5"/>
        <v>441.75000000000023</v>
      </c>
      <c r="N159" t="str">
        <v>Low</v>
      </c>
      <c r="O159" t="s">
        <v>63</v>
      </c>
    </row>
    <row r="160" spans="1:15" x14ac:dyDescent="0.3">
      <c r="A160" t="s">
        <v>198</v>
      </c>
      <c r="B160" s="1">
        <v>45451</v>
      </c>
      <c r="C160" t="s">
        <v>1151</v>
      </c>
      <c r="D160" t="s">
        <v>74</v>
      </c>
      <c r="E160" t="s">
        <v>1249</v>
      </c>
      <c r="F160" t="s">
        <v>1321</v>
      </c>
      <c r="G160" t="s">
        <v>60</v>
      </c>
      <c r="H160" t="s">
        <v>53</v>
      </c>
      <c r="I160">
        <v>8</v>
      </c>
      <c r="J160" s="24">
        <v>191.05</v>
      </c>
      <c r="K160" s="24">
        <f t="shared" si="4"/>
        <v>1528.4</v>
      </c>
      <c r="L160" s="24">
        <v>1798.76</v>
      </c>
      <c r="M160" s="2">
        <f t="shared" si="5"/>
        <v>270.3599999999999</v>
      </c>
      <c r="N160" t="str">
        <v>Low</v>
      </c>
      <c r="O160" t="s">
        <v>65</v>
      </c>
    </row>
    <row r="161" spans="1:15" x14ac:dyDescent="0.3">
      <c r="A161" t="s">
        <v>199</v>
      </c>
      <c r="B161" s="1">
        <v>45452</v>
      </c>
      <c r="C161" t="s">
        <v>1048</v>
      </c>
      <c r="D161" t="s">
        <v>71</v>
      </c>
      <c r="E161" t="s">
        <v>1251</v>
      </c>
      <c r="F161" t="s">
        <v>1276</v>
      </c>
      <c r="G161" t="s">
        <v>60</v>
      </c>
      <c r="H161" t="s">
        <v>51</v>
      </c>
      <c r="I161">
        <v>10</v>
      </c>
      <c r="J161" s="24">
        <v>125.66</v>
      </c>
      <c r="K161" s="24">
        <f t="shared" si="4"/>
        <v>1256.5999999999999</v>
      </c>
      <c r="L161" s="24">
        <v>1400.66</v>
      </c>
      <c r="M161" s="2">
        <f t="shared" si="5"/>
        <v>144.06000000000017</v>
      </c>
      <c r="N161" t="str">
        <v>Low</v>
      </c>
      <c r="O161" t="s">
        <v>65</v>
      </c>
    </row>
    <row r="162" spans="1:15" x14ac:dyDescent="0.3">
      <c r="A162" t="s">
        <v>200</v>
      </c>
      <c r="B162" s="1">
        <v>45453</v>
      </c>
      <c r="C162" t="s">
        <v>1152</v>
      </c>
      <c r="D162" t="s">
        <v>72</v>
      </c>
      <c r="E162" t="s">
        <v>1245</v>
      </c>
      <c r="F162" t="s">
        <v>1305</v>
      </c>
      <c r="G162" t="s">
        <v>60</v>
      </c>
      <c r="H162" t="s">
        <v>51</v>
      </c>
      <c r="I162">
        <v>10</v>
      </c>
      <c r="J162" s="24">
        <v>453.4</v>
      </c>
      <c r="K162" s="24">
        <f t="shared" si="4"/>
        <v>4534</v>
      </c>
      <c r="L162" s="24">
        <v>6356.14</v>
      </c>
      <c r="M162" s="2">
        <f t="shared" si="5"/>
        <v>1822.1400000000003</v>
      </c>
      <c r="N162" t="str">
        <v>High</v>
      </c>
      <c r="O162" t="s">
        <v>64</v>
      </c>
    </row>
    <row r="163" spans="1:15" x14ac:dyDescent="0.3">
      <c r="A163" t="s">
        <v>201</v>
      </c>
      <c r="B163" s="1">
        <v>45454</v>
      </c>
      <c r="C163" t="s">
        <v>1153</v>
      </c>
      <c r="D163" t="s">
        <v>72</v>
      </c>
      <c r="E163" t="s">
        <v>1245</v>
      </c>
      <c r="F163" t="s">
        <v>1305</v>
      </c>
      <c r="G163" t="s">
        <v>60</v>
      </c>
      <c r="H163" t="s">
        <v>52</v>
      </c>
      <c r="I163">
        <v>6</v>
      </c>
      <c r="J163" s="24">
        <v>414.74</v>
      </c>
      <c r="K163" s="24">
        <f t="shared" si="4"/>
        <v>2488.44</v>
      </c>
      <c r="L163" s="24">
        <v>3333.57</v>
      </c>
      <c r="M163" s="2">
        <f t="shared" si="5"/>
        <v>845.13000000000011</v>
      </c>
      <c r="N163" t="str">
        <v>High</v>
      </c>
      <c r="O163" t="s">
        <v>63</v>
      </c>
    </row>
    <row r="164" spans="1:15" x14ac:dyDescent="0.3">
      <c r="A164" t="s">
        <v>202</v>
      </c>
      <c r="B164" s="1">
        <v>45455</v>
      </c>
      <c r="C164" t="s">
        <v>1154</v>
      </c>
      <c r="D164" t="s">
        <v>71</v>
      </c>
      <c r="E164" t="s">
        <v>1254</v>
      </c>
      <c r="F164" t="s">
        <v>1322</v>
      </c>
      <c r="G164" t="s">
        <v>60</v>
      </c>
      <c r="H164" t="s">
        <v>53</v>
      </c>
      <c r="I164">
        <v>8</v>
      </c>
      <c r="J164" s="24">
        <v>240.62</v>
      </c>
      <c r="K164" s="24">
        <f t="shared" si="4"/>
        <v>1924.96</v>
      </c>
      <c r="L164" s="24">
        <v>2652.26</v>
      </c>
      <c r="M164" s="2">
        <f t="shared" si="5"/>
        <v>727.30000000000018</v>
      </c>
      <c r="N164" t="str">
        <v>High</v>
      </c>
      <c r="O164" t="s">
        <v>63</v>
      </c>
    </row>
    <row r="165" spans="1:15" x14ac:dyDescent="0.3">
      <c r="A165" t="s">
        <v>203</v>
      </c>
      <c r="B165" s="1">
        <v>45456</v>
      </c>
      <c r="C165" t="s">
        <v>1155</v>
      </c>
      <c r="D165" t="s">
        <v>73</v>
      </c>
      <c r="E165" t="s">
        <v>1252</v>
      </c>
      <c r="F165" t="s">
        <v>1297</v>
      </c>
      <c r="G165" t="s">
        <v>60</v>
      </c>
      <c r="H165" t="s">
        <v>53</v>
      </c>
      <c r="I165">
        <v>10</v>
      </c>
      <c r="J165" s="24">
        <v>373.7</v>
      </c>
      <c r="K165" s="24">
        <f t="shared" si="4"/>
        <v>3737</v>
      </c>
      <c r="L165" s="24">
        <v>4796.2700000000004</v>
      </c>
      <c r="M165" s="2">
        <f t="shared" si="5"/>
        <v>1059.2700000000004</v>
      </c>
      <c r="N165" t="str">
        <v>High</v>
      </c>
      <c r="O165" t="s">
        <v>65</v>
      </c>
    </row>
    <row r="166" spans="1:15" x14ac:dyDescent="0.3">
      <c r="A166" t="s">
        <v>204</v>
      </c>
      <c r="B166" s="1">
        <v>45457</v>
      </c>
      <c r="C166" t="s">
        <v>1156</v>
      </c>
      <c r="D166" t="s">
        <v>1255</v>
      </c>
      <c r="E166" t="s">
        <v>59</v>
      </c>
      <c r="F166" t="s">
        <v>1323</v>
      </c>
      <c r="G166" t="s">
        <v>60</v>
      </c>
      <c r="H166" t="s">
        <v>53</v>
      </c>
      <c r="I166">
        <v>1</v>
      </c>
      <c r="J166" s="24">
        <v>372.9</v>
      </c>
      <c r="K166" s="24">
        <f t="shared" si="4"/>
        <v>372.9</v>
      </c>
      <c r="L166" s="24">
        <v>540.17999999999995</v>
      </c>
      <c r="M166" s="2">
        <f t="shared" si="5"/>
        <v>167.27999999999997</v>
      </c>
      <c r="N166" t="str">
        <v>Low</v>
      </c>
      <c r="O166" t="s">
        <v>63</v>
      </c>
    </row>
    <row r="167" spans="1:15" x14ac:dyDescent="0.3">
      <c r="A167" t="s">
        <v>205</v>
      </c>
      <c r="B167" s="1">
        <v>45458</v>
      </c>
      <c r="C167" t="s">
        <v>1053</v>
      </c>
      <c r="D167" t="s">
        <v>73</v>
      </c>
      <c r="E167" t="s">
        <v>1252</v>
      </c>
      <c r="F167" t="s">
        <v>1297</v>
      </c>
      <c r="G167" t="s">
        <v>60</v>
      </c>
      <c r="H167" t="s">
        <v>51</v>
      </c>
      <c r="I167">
        <v>6</v>
      </c>
      <c r="J167" s="24">
        <v>482.29</v>
      </c>
      <c r="K167" s="24">
        <f t="shared" si="4"/>
        <v>2893.7400000000002</v>
      </c>
      <c r="L167" s="24">
        <v>3218.86</v>
      </c>
      <c r="M167" s="2">
        <f t="shared" si="5"/>
        <v>325.11999999999989</v>
      </c>
      <c r="N167" t="str">
        <v>High</v>
      </c>
      <c r="O167" t="s">
        <v>64</v>
      </c>
    </row>
    <row r="168" spans="1:15" x14ac:dyDescent="0.3">
      <c r="A168" t="s">
        <v>206</v>
      </c>
      <c r="B168" s="1">
        <v>45459</v>
      </c>
      <c r="C168" t="s">
        <v>1157</v>
      </c>
      <c r="D168" t="s">
        <v>71</v>
      </c>
      <c r="E168" t="s">
        <v>1248</v>
      </c>
      <c r="F168" t="s">
        <v>1291</v>
      </c>
      <c r="G168" t="s">
        <v>60</v>
      </c>
      <c r="H168" t="s">
        <v>51</v>
      </c>
      <c r="I168">
        <v>3</v>
      </c>
      <c r="J168" s="24">
        <v>310.06</v>
      </c>
      <c r="K168" s="24">
        <f t="shared" si="4"/>
        <v>930.18000000000006</v>
      </c>
      <c r="L168" s="24">
        <v>1214.04</v>
      </c>
      <c r="M168" s="2">
        <f t="shared" si="5"/>
        <v>283.8599999999999</v>
      </c>
      <c r="N168" t="str">
        <v>Low</v>
      </c>
      <c r="O168" t="s">
        <v>65</v>
      </c>
    </row>
    <row r="169" spans="1:15" x14ac:dyDescent="0.3">
      <c r="A169" t="s">
        <v>207</v>
      </c>
      <c r="B169" s="1">
        <v>45460</v>
      </c>
      <c r="C169" t="s">
        <v>1132</v>
      </c>
      <c r="D169" t="s">
        <v>71</v>
      </c>
      <c r="E169" t="s">
        <v>1241</v>
      </c>
      <c r="F169" t="s">
        <v>57</v>
      </c>
      <c r="G169" t="s">
        <v>60</v>
      </c>
      <c r="H169" t="s">
        <v>52</v>
      </c>
      <c r="I169">
        <v>1</v>
      </c>
      <c r="J169" s="24">
        <v>425.27</v>
      </c>
      <c r="K169" s="24">
        <f t="shared" si="4"/>
        <v>425.27</v>
      </c>
      <c r="L169" s="24">
        <v>482.64</v>
      </c>
      <c r="M169" s="2">
        <f t="shared" si="5"/>
        <v>57.370000000000005</v>
      </c>
      <c r="N169" t="str">
        <v>Low</v>
      </c>
      <c r="O169" t="s">
        <v>63</v>
      </c>
    </row>
    <row r="170" spans="1:15" x14ac:dyDescent="0.3">
      <c r="A170" t="s">
        <v>208</v>
      </c>
      <c r="B170" s="1">
        <v>45461</v>
      </c>
      <c r="C170" t="s">
        <v>1158</v>
      </c>
      <c r="D170" t="s">
        <v>72</v>
      </c>
      <c r="E170" t="s">
        <v>1246</v>
      </c>
      <c r="F170" t="s">
        <v>1267</v>
      </c>
      <c r="G170" t="s">
        <v>60</v>
      </c>
      <c r="H170" t="s">
        <v>53</v>
      </c>
      <c r="I170">
        <v>6</v>
      </c>
      <c r="J170" s="24">
        <v>498.37</v>
      </c>
      <c r="K170" s="24">
        <f t="shared" si="4"/>
        <v>2990.2200000000003</v>
      </c>
      <c r="L170" s="24">
        <v>3609.87</v>
      </c>
      <c r="M170" s="2">
        <f t="shared" si="5"/>
        <v>619.64999999999964</v>
      </c>
      <c r="N170" t="str">
        <v>High</v>
      </c>
      <c r="O170" t="s">
        <v>64</v>
      </c>
    </row>
    <row r="171" spans="1:15" x14ac:dyDescent="0.3">
      <c r="A171" t="s">
        <v>209</v>
      </c>
      <c r="B171" s="1">
        <v>45462</v>
      </c>
      <c r="C171" t="s">
        <v>1099</v>
      </c>
      <c r="D171" t="s">
        <v>1255</v>
      </c>
      <c r="E171" t="s">
        <v>59</v>
      </c>
      <c r="F171" t="s">
        <v>1295</v>
      </c>
      <c r="G171" t="s">
        <v>60</v>
      </c>
      <c r="H171" t="s">
        <v>54</v>
      </c>
      <c r="I171">
        <v>2</v>
      </c>
      <c r="J171" s="24">
        <v>298.12</v>
      </c>
      <c r="K171" s="24">
        <f t="shared" si="4"/>
        <v>596.24</v>
      </c>
      <c r="L171" s="24">
        <v>864.83</v>
      </c>
      <c r="M171" s="2">
        <f t="shared" si="5"/>
        <v>268.59000000000003</v>
      </c>
      <c r="N171" t="str">
        <v>Low</v>
      </c>
      <c r="O171" t="s">
        <v>63</v>
      </c>
    </row>
    <row r="172" spans="1:15" x14ac:dyDescent="0.3">
      <c r="A172" t="s">
        <v>210</v>
      </c>
      <c r="B172" s="1">
        <v>45463</v>
      </c>
      <c r="C172" t="s">
        <v>1159</v>
      </c>
      <c r="D172" t="s">
        <v>74</v>
      </c>
      <c r="E172" t="s">
        <v>1244</v>
      </c>
      <c r="F172" t="s">
        <v>58</v>
      </c>
      <c r="G172" t="s">
        <v>60</v>
      </c>
      <c r="H172" t="s">
        <v>53</v>
      </c>
      <c r="I172">
        <v>7</v>
      </c>
      <c r="J172" s="24">
        <v>439.69</v>
      </c>
      <c r="K172" s="24">
        <f t="shared" si="4"/>
        <v>3077.83</v>
      </c>
      <c r="L172" s="24">
        <v>3611.75</v>
      </c>
      <c r="M172" s="2">
        <f t="shared" si="5"/>
        <v>533.92000000000007</v>
      </c>
      <c r="N172" t="str">
        <v>High</v>
      </c>
      <c r="O172" t="s">
        <v>65</v>
      </c>
    </row>
    <row r="173" spans="1:15" x14ac:dyDescent="0.3">
      <c r="A173" t="s">
        <v>211</v>
      </c>
      <c r="B173" s="1">
        <v>45464</v>
      </c>
      <c r="C173" t="s">
        <v>1140</v>
      </c>
      <c r="D173" t="s">
        <v>73</v>
      </c>
      <c r="E173" t="s">
        <v>1243</v>
      </c>
      <c r="F173" t="s">
        <v>1290</v>
      </c>
      <c r="G173" t="s">
        <v>60</v>
      </c>
      <c r="H173" t="s">
        <v>54</v>
      </c>
      <c r="I173">
        <v>6</v>
      </c>
      <c r="J173" s="24">
        <v>247.24</v>
      </c>
      <c r="K173" s="24">
        <f t="shared" si="4"/>
        <v>1483.44</v>
      </c>
      <c r="L173" s="24">
        <v>1882.79</v>
      </c>
      <c r="M173" s="2">
        <f t="shared" si="5"/>
        <v>399.34999999999991</v>
      </c>
      <c r="N173" t="str">
        <v>Low</v>
      </c>
      <c r="O173" t="s">
        <v>64</v>
      </c>
    </row>
    <row r="174" spans="1:15" x14ac:dyDescent="0.3">
      <c r="A174" t="s">
        <v>212</v>
      </c>
      <c r="B174" s="1">
        <v>45465</v>
      </c>
      <c r="C174" t="s">
        <v>1071</v>
      </c>
      <c r="D174" t="s">
        <v>73</v>
      </c>
      <c r="E174" t="s">
        <v>1252</v>
      </c>
      <c r="F174" t="s">
        <v>1289</v>
      </c>
      <c r="G174" t="s">
        <v>60</v>
      </c>
      <c r="H174" t="s">
        <v>51</v>
      </c>
      <c r="I174">
        <v>2</v>
      </c>
      <c r="J174" s="24">
        <v>249.67</v>
      </c>
      <c r="K174" s="24">
        <f t="shared" si="4"/>
        <v>499.34</v>
      </c>
      <c r="L174" s="24">
        <v>646.01</v>
      </c>
      <c r="M174" s="2">
        <f t="shared" si="5"/>
        <v>146.67000000000002</v>
      </c>
      <c r="N174" t="str">
        <v>Low</v>
      </c>
      <c r="O174" t="s">
        <v>63</v>
      </c>
    </row>
    <row r="175" spans="1:15" x14ac:dyDescent="0.3">
      <c r="A175" t="s">
        <v>213</v>
      </c>
      <c r="B175" s="1">
        <v>45466</v>
      </c>
      <c r="C175" t="s">
        <v>1076</v>
      </c>
      <c r="D175" t="s">
        <v>74</v>
      </c>
      <c r="E175" t="s">
        <v>1249</v>
      </c>
      <c r="F175" t="s">
        <v>1324</v>
      </c>
      <c r="G175" t="s">
        <v>60</v>
      </c>
      <c r="H175" t="s">
        <v>53</v>
      </c>
      <c r="I175">
        <v>3</v>
      </c>
      <c r="J175" s="24">
        <v>68.97</v>
      </c>
      <c r="K175" s="24">
        <f t="shared" si="4"/>
        <v>206.91</v>
      </c>
      <c r="L175" s="24">
        <v>257.93</v>
      </c>
      <c r="M175" s="2">
        <f t="shared" si="5"/>
        <v>51.02000000000001</v>
      </c>
      <c r="N175" t="str">
        <v>Low</v>
      </c>
      <c r="O175" t="s">
        <v>64</v>
      </c>
    </row>
    <row r="176" spans="1:15" x14ac:dyDescent="0.3">
      <c r="A176" t="s">
        <v>214</v>
      </c>
      <c r="B176" s="1">
        <v>45467</v>
      </c>
      <c r="C176" t="s">
        <v>1129</v>
      </c>
      <c r="D176" t="s">
        <v>74</v>
      </c>
      <c r="E176" t="s">
        <v>1249</v>
      </c>
      <c r="F176" t="s">
        <v>1325</v>
      </c>
      <c r="G176" t="s">
        <v>60</v>
      </c>
      <c r="H176" t="s">
        <v>53</v>
      </c>
      <c r="I176">
        <v>4</v>
      </c>
      <c r="J176" s="24">
        <v>403.1</v>
      </c>
      <c r="K176" s="24">
        <f t="shared" si="4"/>
        <v>1612.4</v>
      </c>
      <c r="L176" s="24">
        <v>2287.27</v>
      </c>
      <c r="M176" s="2">
        <f t="shared" si="5"/>
        <v>674.86999999999989</v>
      </c>
      <c r="N176" t="str">
        <v>High</v>
      </c>
      <c r="O176" t="s">
        <v>65</v>
      </c>
    </row>
    <row r="177" spans="1:15" x14ac:dyDescent="0.3">
      <c r="A177" t="s">
        <v>215</v>
      </c>
      <c r="B177" s="1">
        <v>45468</v>
      </c>
      <c r="C177" t="s">
        <v>1156</v>
      </c>
      <c r="D177" t="s">
        <v>71</v>
      </c>
      <c r="E177" t="s">
        <v>1251</v>
      </c>
      <c r="F177" t="s">
        <v>1326</v>
      </c>
      <c r="G177" t="s">
        <v>60</v>
      </c>
      <c r="H177" t="s">
        <v>51</v>
      </c>
      <c r="I177">
        <v>5</v>
      </c>
      <c r="J177" s="24">
        <v>475.4</v>
      </c>
      <c r="K177" s="24">
        <f t="shared" si="4"/>
        <v>2377</v>
      </c>
      <c r="L177" s="24">
        <v>2719.3</v>
      </c>
      <c r="M177" s="2">
        <f t="shared" si="5"/>
        <v>342.30000000000018</v>
      </c>
      <c r="N177" t="str">
        <v>High</v>
      </c>
      <c r="O177" t="s">
        <v>64</v>
      </c>
    </row>
    <row r="178" spans="1:15" x14ac:dyDescent="0.3">
      <c r="A178" t="s">
        <v>216</v>
      </c>
      <c r="B178" s="1">
        <v>45469</v>
      </c>
      <c r="C178" t="s">
        <v>1111</v>
      </c>
      <c r="D178" t="s">
        <v>73</v>
      </c>
      <c r="E178" t="s">
        <v>1252</v>
      </c>
      <c r="F178" t="s">
        <v>1289</v>
      </c>
      <c r="G178" t="s">
        <v>60</v>
      </c>
      <c r="H178" t="s">
        <v>53</v>
      </c>
      <c r="I178">
        <v>2</v>
      </c>
      <c r="J178" s="24">
        <v>140.07</v>
      </c>
      <c r="K178" s="24">
        <f t="shared" si="4"/>
        <v>280.14</v>
      </c>
      <c r="L178" s="24">
        <v>375.73</v>
      </c>
      <c r="M178" s="2">
        <f t="shared" si="5"/>
        <v>95.590000000000032</v>
      </c>
      <c r="N178" t="str">
        <v>Low</v>
      </c>
      <c r="O178" t="s">
        <v>64</v>
      </c>
    </row>
    <row r="179" spans="1:15" x14ac:dyDescent="0.3">
      <c r="A179" t="s">
        <v>217</v>
      </c>
      <c r="B179" s="1">
        <v>45470</v>
      </c>
      <c r="C179" t="s">
        <v>1114</v>
      </c>
      <c r="D179" t="s">
        <v>72</v>
      </c>
      <c r="E179" t="s">
        <v>1245</v>
      </c>
      <c r="F179" t="s">
        <v>1263</v>
      </c>
      <c r="G179" t="s">
        <v>60</v>
      </c>
      <c r="H179" t="s">
        <v>51</v>
      </c>
      <c r="I179">
        <v>1</v>
      </c>
      <c r="J179" s="24">
        <v>156.57</v>
      </c>
      <c r="K179" s="24">
        <f t="shared" si="4"/>
        <v>156.57</v>
      </c>
      <c r="L179" s="24">
        <v>229.66</v>
      </c>
      <c r="M179" s="2">
        <f t="shared" si="5"/>
        <v>73.09</v>
      </c>
      <c r="N179" t="str">
        <v>Low</v>
      </c>
      <c r="O179" t="s">
        <v>63</v>
      </c>
    </row>
    <row r="180" spans="1:15" x14ac:dyDescent="0.3">
      <c r="A180" t="s">
        <v>218</v>
      </c>
      <c r="B180" s="1">
        <v>45471</v>
      </c>
      <c r="C180" t="s">
        <v>1160</v>
      </c>
      <c r="D180" t="s">
        <v>71</v>
      </c>
      <c r="E180" t="s">
        <v>1240</v>
      </c>
      <c r="F180" t="s">
        <v>1273</v>
      </c>
      <c r="G180" t="s">
        <v>60</v>
      </c>
      <c r="H180" t="s">
        <v>52</v>
      </c>
      <c r="I180">
        <v>6</v>
      </c>
      <c r="J180" s="24">
        <v>329.87</v>
      </c>
      <c r="K180" s="24">
        <f t="shared" si="4"/>
        <v>1979.22</v>
      </c>
      <c r="L180" s="24">
        <v>2959.98</v>
      </c>
      <c r="M180" s="2">
        <f t="shared" si="5"/>
        <v>980.76</v>
      </c>
      <c r="N180" t="str">
        <v>High</v>
      </c>
      <c r="O180" t="s">
        <v>64</v>
      </c>
    </row>
    <row r="181" spans="1:15" x14ac:dyDescent="0.3">
      <c r="A181" t="s">
        <v>219</v>
      </c>
      <c r="B181" s="1">
        <v>45472</v>
      </c>
      <c r="C181" t="s">
        <v>1161</v>
      </c>
      <c r="D181" t="s">
        <v>1255</v>
      </c>
      <c r="E181" t="s">
        <v>59</v>
      </c>
      <c r="F181" t="s">
        <v>1295</v>
      </c>
      <c r="G181" t="s">
        <v>60</v>
      </c>
      <c r="H181" t="s">
        <v>51</v>
      </c>
      <c r="I181">
        <v>7</v>
      </c>
      <c r="J181" s="24">
        <v>36.799999999999997</v>
      </c>
      <c r="K181" s="24">
        <f t="shared" si="4"/>
        <v>257.59999999999997</v>
      </c>
      <c r="L181" s="24">
        <v>362.19</v>
      </c>
      <c r="M181" s="2">
        <f t="shared" si="5"/>
        <v>104.59000000000003</v>
      </c>
      <c r="N181" t="str">
        <v>Low</v>
      </c>
      <c r="O181" t="s">
        <v>63</v>
      </c>
    </row>
    <row r="182" spans="1:15" x14ac:dyDescent="0.3">
      <c r="A182" t="s">
        <v>220</v>
      </c>
      <c r="B182" s="1">
        <v>45473</v>
      </c>
      <c r="C182" t="s">
        <v>1061</v>
      </c>
      <c r="D182" t="s">
        <v>74</v>
      </c>
      <c r="E182" t="s">
        <v>1249</v>
      </c>
      <c r="F182" t="s">
        <v>1270</v>
      </c>
      <c r="G182" t="s">
        <v>60</v>
      </c>
      <c r="H182" t="s">
        <v>51</v>
      </c>
      <c r="I182">
        <v>3</v>
      </c>
      <c r="J182" s="24">
        <v>427.6</v>
      </c>
      <c r="K182" s="24">
        <f t="shared" si="4"/>
        <v>1282.8000000000002</v>
      </c>
      <c r="L182" s="24">
        <v>1737.78</v>
      </c>
      <c r="M182" s="2">
        <f t="shared" si="5"/>
        <v>454.97999999999979</v>
      </c>
      <c r="N182" t="str">
        <v>Low</v>
      </c>
      <c r="O182" t="s">
        <v>63</v>
      </c>
    </row>
    <row r="183" spans="1:15" x14ac:dyDescent="0.3">
      <c r="A183" t="s">
        <v>221</v>
      </c>
      <c r="B183" s="1">
        <v>45474</v>
      </c>
      <c r="C183" t="s">
        <v>1162</v>
      </c>
      <c r="D183" t="s">
        <v>74</v>
      </c>
      <c r="E183" t="s">
        <v>1247</v>
      </c>
      <c r="F183" t="s">
        <v>1327</v>
      </c>
      <c r="G183" t="s">
        <v>60</v>
      </c>
      <c r="H183" t="s">
        <v>52</v>
      </c>
      <c r="I183">
        <v>10</v>
      </c>
      <c r="J183" s="24">
        <v>69.06</v>
      </c>
      <c r="K183" s="24">
        <f t="shared" si="4"/>
        <v>690.6</v>
      </c>
      <c r="L183" s="24">
        <v>787.08</v>
      </c>
      <c r="M183" s="2">
        <f t="shared" si="5"/>
        <v>96.480000000000018</v>
      </c>
      <c r="N183" t="str">
        <v>Low</v>
      </c>
      <c r="O183" t="s">
        <v>65</v>
      </c>
    </row>
    <row r="184" spans="1:15" x14ac:dyDescent="0.3">
      <c r="A184" t="s">
        <v>222</v>
      </c>
      <c r="B184" s="1">
        <v>45475</v>
      </c>
      <c r="C184" t="s">
        <v>1073</v>
      </c>
      <c r="D184" t="s">
        <v>1255</v>
      </c>
      <c r="E184" t="s">
        <v>59</v>
      </c>
      <c r="F184" t="s">
        <v>1262</v>
      </c>
      <c r="G184" t="s">
        <v>60</v>
      </c>
      <c r="H184" t="s">
        <v>53</v>
      </c>
      <c r="I184">
        <v>7</v>
      </c>
      <c r="J184" s="24">
        <v>424.74</v>
      </c>
      <c r="K184" s="24">
        <f t="shared" si="4"/>
        <v>2973.1800000000003</v>
      </c>
      <c r="L184" s="24">
        <v>3607.68</v>
      </c>
      <c r="M184" s="2">
        <f t="shared" si="5"/>
        <v>634.49999999999955</v>
      </c>
      <c r="N184" t="str">
        <v>High</v>
      </c>
      <c r="O184" t="s">
        <v>65</v>
      </c>
    </row>
    <row r="185" spans="1:15" x14ac:dyDescent="0.3">
      <c r="A185" t="s">
        <v>223</v>
      </c>
      <c r="B185" s="1">
        <v>45476</v>
      </c>
      <c r="C185" t="s">
        <v>1163</v>
      </c>
      <c r="D185" t="s">
        <v>74</v>
      </c>
      <c r="E185" t="s">
        <v>1247</v>
      </c>
      <c r="F185" t="s">
        <v>1283</v>
      </c>
      <c r="G185" t="s">
        <v>60</v>
      </c>
      <c r="H185" t="s">
        <v>51</v>
      </c>
      <c r="I185">
        <v>5</v>
      </c>
      <c r="J185" s="24">
        <v>238.01</v>
      </c>
      <c r="K185" s="24">
        <f t="shared" si="4"/>
        <v>1190.05</v>
      </c>
      <c r="L185" s="24">
        <v>1343.45</v>
      </c>
      <c r="M185" s="2">
        <f t="shared" si="5"/>
        <v>153.40000000000009</v>
      </c>
      <c r="N185" t="str">
        <v>Low</v>
      </c>
      <c r="O185" t="s">
        <v>65</v>
      </c>
    </row>
    <row r="186" spans="1:15" x14ac:dyDescent="0.3">
      <c r="A186" t="s">
        <v>224</v>
      </c>
      <c r="B186" s="1">
        <v>45477</v>
      </c>
      <c r="C186" t="s">
        <v>1164</v>
      </c>
      <c r="D186" t="s">
        <v>1255</v>
      </c>
      <c r="E186" t="s">
        <v>59</v>
      </c>
      <c r="F186" t="s">
        <v>1266</v>
      </c>
      <c r="G186" t="s">
        <v>60</v>
      </c>
      <c r="H186" t="s">
        <v>53</v>
      </c>
      <c r="I186">
        <v>7</v>
      </c>
      <c r="J186" s="24">
        <v>201.46</v>
      </c>
      <c r="K186" s="24">
        <f t="shared" si="4"/>
        <v>1410.22</v>
      </c>
      <c r="L186" s="24">
        <v>1656</v>
      </c>
      <c r="M186" s="2">
        <f t="shared" si="5"/>
        <v>245.77999999999997</v>
      </c>
      <c r="N186" t="str">
        <v>Low</v>
      </c>
      <c r="O186" t="s">
        <v>63</v>
      </c>
    </row>
    <row r="187" spans="1:15" x14ac:dyDescent="0.3">
      <c r="A187" t="s">
        <v>225</v>
      </c>
      <c r="B187" s="1">
        <v>45478</v>
      </c>
      <c r="C187" t="s">
        <v>1068</v>
      </c>
      <c r="D187" t="s">
        <v>71</v>
      </c>
      <c r="E187" t="s">
        <v>1241</v>
      </c>
      <c r="F187" t="s">
        <v>57</v>
      </c>
      <c r="G187" t="s">
        <v>60</v>
      </c>
      <c r="H187" t="s">
        <v>54</v>
      </c>
      <c r="I187">
        <v>2</v>
      </c>
      <c r="J187" s="24">
        <v>436.15</v>
      </c>
      <c r="K187" s="24">
        <f t="shared" si="4"/>
        <v>872.3</v>
      </c>
      <c r="L187" s="24">
        <v>1152.51</v>
      </c>
      <c r="M187" s="2">
        <f t="shared" si="5"/>
        <v>280.21000000000004</v>
      </c>
      <c r="N187" t="str">
        <v>Low</v>
      </c>
      <c r="O187" t="s">
        <v>63</v>
      </c>
    </row>
    <row r="188" spans="1:15" x14ac:dyDescent="0.3">
      <c r="A188" t="s">
        <v>226</v>
      </c>
      <c r="B188" s="1">
        <v>45479</v>
      </c>
      <c r="C188" t="s">
        <v>1165</v>
      </c>
      <c r="D188" t="s">
        <v>71</v>
      </c>
      <c r="E188" t="s">
        <v>1240</v>
      </c>
      <c r="F188" t="s">
        <v>1275</v>
      </c>
      <c r="G188" t="s">
        <v>60</v>
      </c>
      <c r="H188" t="s">
        <v>54</v>
      </c>
      <c r="I188">
        <v>5</v>
      </c>
      <c r="J188" s="24">
        <v>357.1</v>
      </c>
      <c r="K188" s="24">
        <f t="shared" si="4"/>
        <v>1785.5</v>
      </c>
      <c r="L188" s="24">
        <v>2289.23</v>
      </c>
      <c r="M188" s="2">
        <f t="shared" si="5"/>
        <v>503.73</v>
      </c>
      <c r="N188" t="str">
        <v>High</v>
      </c>
      <c r="O188" t="s">
        <v>63</v>
      </c>
    </row>
    <row r="189" spans="1:15" x14ac:dyDescent="0.3">
      <c r="A189" t="s">
        <v>227</v>
      </c>
      <c r="B189" s="1">
        <v>45480</v>
      </c>
      <c r="C189" t="s">
        <v>1166</v>
      </c>
      <c r="D189" t="s">
        <v>73</v>
      </c>
      <c r="E189" t="s">
        <v>1252</v>
      </c>
      <c r="F189" t="s">
        <v>1311</v>
      </c>
      <c r="G189" t="s">
        <v>60</v>
      </c>
      <c r="H189" t="s">
        <v>51</v>
      </c>
      <c r="I189">
        <v>7</v>
      </c>
      <c r="J189" s="24">
        <v>242.76</v>
      </c>
      <c r="K189" s="24">
        <f t="shared" si="4"/>
        <v>1699.32</v>
      </c>
      <c r="L189" s="24">
        <v>2352.86</v>
      </c>
      <c r="M189" s="2">
        <f t="shared" si="5"/>
        <v>653.54000000000019</v>
      </c>
      <c r="N189" t="str">
        <v>High</v>
      </c>
      <c r="O189" t="s">
        <v>63</v>
      </c>
    </row>
    <row r="190" spans="1:15" x14ac:dyDescent="0.3">
      <c r="A190" t="s">
        <v>228</v>
      </c>
      <c r="B190" s="1">
        <v>45481</v>
      </c>
      <c r="C190" t="s">
        <v>1155</v>
      </c>
      <c r="D190" t="s">
        <v>72</v>
      </c>
      <c r="E190" t="s">
        <v>1242</v>
      </c>
      <c r="F190" t="s">
        <v>1259</v>
      </c>
      <c r="G190" t="s">
        <v>60</v>
      </c>
      <c r="H190" t="s">
        <v>52</v>
      </c>
      <c r="I190">
        <v>7</v>
      </c>
      <c r="J190" s="24">
        <v>165.03</v>
      </c>
      <c r="K190" s="24">
        <f t="shared" si="4"/>
        <v>1155.21</v>
      </c>
      <c r="L190" s="24">
        <v>1482.39</v>
      </c>
      <c r="M190" s="2">
        <f t="shared" si="5"/>
        <v>327.18000000000006</v>
      </c>
      <c r="N190" t="str">
        <v>Low</v>
      </c>
      <c r="O190" t="s">
        <v>63</v>
      </c>
    </row>
    <row r="191" spans="1:15" x14ac:dyDescent="0.3">
      <c r="A191" t="s">
        <v>229</v>
      </c>
      <c r="B191" s="1">
        <v>45482</v>
      </c>
      <c r="C191" t="s">
        <v>1167</v>
      </c>
      <c r="D191" t="s">
        <v>72</v>
      </c>
      <c r="E191" t="s">
        <v>1246</v>
      </c>
      <c r="F191" t="s">
        <v>1282</v>
      </c>
      <c r="G191" t="s">
        <v>60</v>
      </c>
      <c r="H191" t="s">
        <v>51</v>
      </c>
      <c r="I191">
        <v>6</v>
      </c>
      <c r="J191" s="24">
        <v>91.17</v>
      </c>
      <c r="K191" s="24">
        <f t="shared" si="4"/>
        <v>547.02</v>
      </c>
      <c r="L191" s="24">
        <v>610.22</v>
      </c>
      <c r="M191" s="2">
        <f t="shared" si="5"/>
        <v>63.200000000000045</v>
      </c>
      <c r="N191" t="str">
        <v>Low</v>
      </c>
      <c r="O191" t="s">
        <v>64</v>
      </c>
    </row>
    <row r="192" spans="1:15" x14ac:dyDescent="0.3">
      <c r="A192" t="s">
        <v>230</v>
      </c>
      <c r="B192" s="1">
        <v>45483</v>
      </c>
      <c r="C192" t="s">
        <v>1158</v>
      </c>
      <c r="D192" t="s">
        <v>71</v>
      </c>
      <c r="E192" t="s">
        <v>1251</v>
      </c>
      <c r="F192" t="s">
        <v>1320</v>
      </c>
      <c r="G192" t="s">
        <v>60</v>
      </c>
      <c r="H192" t="s">
        <v>52</v>
      </c>
      <c r="I192">
        <v>2</v>
      </c>
      <c r="J192" s="24">
        <v>158.66</v>
      </c>
      <c r="K192" s="24">
        <f t="shared" si="4"/>
        <v>317.32</v>
      </c>
      <c r="L192" s="24">
        <v>384.63</v>
      </c>
      <c r="M192" s="2">
        <f t="shared" si="5"/>
        <v>67.31</v>
      </c>
      <c r="N192" t="str">
        <v>Low</v>
      </c>
      <c r="O192" t="s">
        <v>63</v>
      </c>
    </row>
    <row r="193" spans="1:15" x14ac:dyDescent="0.3">
      <c r="A193" t="s">
        <v>231</v>
      </c>
      <c r="B193" s="1">
        <v>45484</v>
      </c>
      <c r="C193" t="s">
        <v>1050</v>
      </c>
      <c r="D193" t="s">
        <v>72</v>
      </c>
      <c r="E193" t="s">
        <v>1242</v>
      </c>
      <c r="F193" t="s">
        <v>1280</v>
      </c>
      <c r="G193" t="s">
        <v>60</v>
      </c>
      <c r="H193" t="s">
        <v>51</v>
      </c>
      <c r="I193">
        <v>10</v>
      </c>
      <c r="J193" s="24">
        <v>133.62</v>
      </c>
      <c r="K193" s="24">
        <f t="shared" si="4"/>
        <v>1336.2</v>
      </c>
      <c r="L193" s="24">
        <v>1520.42</v>
      </c>
      <c r="M193" s="2">
        <f t="shared" si="5"/>
        <v>184.22000000000003</v>
      </c>
      <c r="N193" t="str">
        <v>Low</v>
      </c>
      <c r="O193" t="s">
        <v>64</v>
      </c>
    </row>
    <row r="194" spans="1:15" x14ac:dyDescent="0.3">
      <c r="A194" t="s">
        <v>232</v>
      </c>
      <c r="B194" s="1">
        <v>45485</v>
      </c>
      <c r="C194" t="s">
        <v>1148</v>
      </c>
      <c r="D194" t="s">
        <v>72</v>
      </c>
      <c r="E194" t="s">
        <v>1245</v>
      </c>
      <c r="F194" t="s">
        <v>1328</v>
      </c>
      <c r="G194" t="s">
        <v>60</v>
      </c>
      <c r="H194" t="s">
        <v>51</v>
      </c>
      <c r="I194">
        <v>3</v>
      </c>
      <c r="J194" s="24">
        <v>245.2</v>
      </c>
      <c r="K194" s="24">
        <f t="shared" si="4"/>
        <v>735.59999999999991</v>
      </c>
      <c r="L194" s="24">
        <v>930.37</v>
      </c>
      <c r="M194" s="2">
        <f t="shared" si="5"/>
        <v>194.7700000000001</v>
      </c>
      <c r="N194" t="str">
        <v>Low</v>
      </c>
      <c r="O194" t="s">
        <v>63</v>
      </c>
    </row>
    <row r="195" spans="1:15" x14ac:dyDescent="0.3">
      <c r="A195" t="s">
        <v>233</v>
      </c>
      <c r="B195" s="1">
        <v>45486</v>
      </c>
      <c r="C195" t="s">
        <v>1168</v>
      </c>
      <c r="D195" t="s">
        <v>71</v>
      </c>
      <c r="E195" t="s">
        <v>1248</v>
      </c>
      <c r="F195" t="s">
        <v>1269</v>
      </c>
      <c r="G195" t="s">
        <v>60</v>
      </c>
      <c r="H195" t="s">
        <v>52</v>
      </c>
      <c r="I195">
        <v>6</v>
      </c>
      <c r="J195" s="24">
        <v>297.31</v>
      </c>
      <c r="K195" s="24">
        <f t="shared" ref="K195:K258" si="6">J195*I195</f>
        <v>1783.8600000000001</v>
      </c>
      <c r="L195" s="24">
        <v>2320.48</v>
      </c>
      <c r="M195" s="2">
        <f t="shared" ref="M195:M258" si="7">L195-K195</f>
        <v>536.61999999999989</v>
      </c>
      <c r="N195" t="str">
        <v>High</v>
      </c>
      <c r="O195" t="s">
        <v>63</v>
      </c>
    </row>
    <row r="196" spans="1:15" x14ac:dyDescent="0.3">
      <c r="A196" t="s">
        <v>234</v>
      </c>
      <c r="B196" s="1">
        <v>45487</v>
      </c>
      <c r="C196" t="s">
        <v>1169</v>
      </c>
      <c r="D196" t="s">
        <v>73</v>
      </c>
      <c r="E196" t="s">
        <v>1243</v>
      </c>
      <c r="F196" t="s">
        <v>1306</v>
      </c>
      <c r="G196" t="s">
        <v>60</v>
      </c>
      <c r="H196" t="s">
        <v>54</v>
      </c>
      <c r="I196">
        <v>2</v>
      </c>
      <c r="J196" s="24">
        <v>461.15</v>
      </c>
      <c r="K196" s="24">
        <f t="shared" si="6"/>
        <v>922.3</v>
      </c>
      <c r="L196" s="24">
        <v>1169.25</v>
      </c>
      <c r="M196" s="2">
        <f t="shared" si="7"/>
        <v>246.95000000000005</v>
      </c>
      <c r="N196" t="str">
        <v>Low</v>
      </c>
      <c r="O196" t="s">
        <v>65</v>
      </c>
    </row>
    <row r="197" spans="1:15" x14ac:dyDescent="0.3">
      <c r="A197" t="s">
        <v>235</v>
      </c>
      <c r="B197" s="1">
        <v>45488</v>
      </c>
      <c r="C197" t="s">
        <v>1111</v>
      </c>
      <c r="D197" t="s">
        <v>73</v>
      </c>
      <c r="E197" t="s">
        <v>1250</v>
      </c>
      <c r="F197" t="s">
        <v>1274</v>
      </c>
      <c r="G197" t="s">
        <v>60</v>
      </c>
      <c r="H197" t="s">
        <v>53</v>
      </c>
      <c r="I197">
        <v>1</v>
      </c>
      <c r="J197" s="24">
        <v>212.99</v>
      </c>
      <c r="K197" s="24">
        <f t="shared" si="6"/>
        <v>212.99</v>
      </c>
      <c r="L197" s="24">
        <v>268.66000000000003</v>
      </c>
      <c r="M197" s="2">
        <f t="shared" si="7"/>
        <v>55.670000000000016</v>
      </c>
      <c r="N197" t="str">
        <v>Low</v>
      </c>
      <c r="O197" t="s">
        <v>63</v>
      </c>
    </row>
    <row r="198" spans="1:15" x14ac:dyDescent="0.3">
      <c r="A198" t="s">
        <v>236</v>
      </c>
      <c r="B198" s="1">
        <v>45489</v>
      </c>
      <c r="C198" t="s">
        <v>1143</v>
      </c>
      <c r="D198" t="s">
        <v>72</v>
      </c>
      <c r="E198" t="s">
        <v>1253</v>
      </c>
      <c r="F198" t="s">
        <v>1298</v>
      </c>
      <c r="G198" t="s">
        <v>60</v>
      </c>
      <c r="H198" t="s">
        <v>53</v>
      </c>
      <c r="I198">
        <v>9</v>
      </c>
      <c r="J198" s="24">
        <v>305.74</v>
      </c>
      <c r="K198" s="24">
        <f t="shared" si="6"/>
        <v>2751.66</v>
      </c>
      <c r="L198" s="24">
        <v>4112.18</v>
      </c>
      <c r="M198" s="2">
        <f t="shared" si="7"/>
        <v>1360.5200000000004</v>
      </c>
      <c r="N198" t="str">
        <v>High</v>
      </c>
      <c r="O198" t="s">
        <v>64</v>
      </c>
    </row>
    <row r="199" spans="1:15" x14ac:dyDescent="0.3">
      <c r="A199" t="s">
        <v>237</v>
      </c>
      <c r="B199" s="1">
        <v>45490</v>
      </c>
      <c r="C199" t="s">
        <v>1094</v>
      </c>
      <c r="D199" t="s">
        <v>71</v>
      </c>
      <c r="E199" t="s">
        <v>1248</v>
      </c>
      <c r="F199" t="s">
        <v>1271</v>
      </c>
      <c r="G199" t="s">
        <v>60</v>
      </c>
      <c r="H199" t="s">
        <v>53</v>
      </c>
      <c r="I199">
        <v>8</v>
      </c>
      <c r="J199" s="24">
        <v>35.21</v>
      </c>
      <c r="K199" s="24">
        <f t="shared" si="6"/>
        <v>281.68</v>
      </c>
      <c r="L199" s="24">
        <v>413.32</v>
      </c>
      <c r="M199" s="2">
        <f t="shared" si="7"/>
        <v>131.63999999999999</v>
      </c>
      <c r="N199" t="str">
        <v>Low</v>
      </c>
      <c r="O199" t="s">
        <v>63</v>
      </c>
    </row>
    <row r="200" spans="1:15" x14ac:dyDescent="0.3">
      <c r="A200" t="s">
        <v>238</v>
      </c>
      <c r="B200" s="1">
        <v>45491</v>
      </c>
      <c r="C200" t="s">
        <v>1105</v>
      </c>
      <c r="D200" t="s">
        <v>71</v>
      </c>
      <c r="E200" t="s">
        <v>1240</v>
      </c>
      <c r="F200" t="s">
        <v>1273</v>
      </c>
      <c r="G200" t="s">
        <v>60</v>
      </c>
      <c r="H200" t="s">
        <v>51</v>
      </c>
      <c r="I200">
        <v>10</v>
      </c>
      <c r="J200" s="24">
        <v>458.73</v>
      </c>
      <c r="K200" s="24">
        <f t="shared" si="6"/>
        <v>4587.3</v>
      </c>
      <c r="L200" s="24">
        <v>6529.45</v>
      </c>
      <c r="M200" s="2">
        <f t="shared" si="7"/>
        <v>1942.1499999999996</v>
      </c>
      <c r="N200" t="str">
        <v>High</v>
      </c>
      <c r="O200" t="s">
        <v>63</v>
      </c>
    </row>
    <row r="201" spans="1:15" x14ac:dyDescent="0.3">
      <c r="A201" t="s">
        <v>239</v>
      </c>
      <c r="B201" s="1">
        <v>45492</v>
      </c>
      <c r="C201" t="s">
        <v>1170</v>
      </c>
      <c r="D201" t="s">
        <v>74</v>
      </c>
      <c r="E201" t="s">
        <v>1247</v>
      </c>
      <c r="F201" t="s">
        <v>1285</v>
      </c>
      <c r="G201" t="s">
        <v>60</v>
      </c>
      <c r="H201" t="s">
        <v>52</v>
      </c>
      <c r="I201">
        <v>5</v>
      </c>
      <c r="J201" s="24">
        <v>40.72</v>
      </c>
      <c r="K201" s="24">
        <f t="shared" si="6"/>
        <v>203.6</v>
      </c>
      <c r="L201" s="24">
        <v>251.13</v>
      </c>
      <c r="M201" s="2">
        <f t="shared" si="7"/>
        <v>47.53</v>
      </c>
      <c r="N201" t="str">
        <v>Low</v>
      </c>
      <c r="O201" t="s">
        <v>65</v>
      </c>
    </row>
    <row r="202" spans="1:15" x14ac:dyDescent="0.3">
      <c r="A202" t="s">
        <v>240</v>
      </c>
      <c r="B202" s="1">
        <v>45493</v>
      </c>
      <c r="C202" t="s">
        <v>1085</v>
      </c>
      <c r="D202" t="s">
        <v>71</v>
      </c>
      <c r="E202" t="s">
        <v>1241</v>
      </c>
      <c r="F202" t="s">
        <v>56</v>
      </c>
      <c r="G202" t="s">
        <v>60</v>
      </c>
      <c r="H202" t="s">
        <v>52</v>
      </c>
      <c r="I202">
        <v>1</v>
      </c>
      <c r="J202" s="24">
        <v>380.89</v>
      </c>
      <c r="K202" s="24">
        <f t="shared" si="6"/>
        <v>380.89</v>
      </c>
      <c r="L202" s="24">
        <v>566.35</v>
      </c>
      <c r="M202" s="2">
        <f t="shared" si="7"/>
        <v>185.46000000000004</v>
      </c>
      <c r="N202" t="str">
        <v>Low</v>
      </c>
      <c r="O202" t="s">
        <v>64</v>
      </c>
    </row>
    <row r="203" spans="1:15" x14ac:dyDescent="0.3">
      <c r="A203" t="s">
        <v>241</v>
      </c>
      <c r="B203" s="1">
        <v>45494</v>
      </c>
      <c r="C203" t="s">
        <v>1058</v>
      </c>
      <c r="D203" t="s">
        <v>71</v>
      </c>
      <c r="E203" t="s">
        <v>1240</v>
      </c>
      <c r="F203" t="s">
        <v>1260</v>
      </c>
      <c r="G203" t="s">
        <v>60</v>
      </c>
      <c r="H203" t="s">
        <v>52</v>
      </c>
      <c r="I203">
        <v>1</v>
      </c>
      <c r="J203" s="24">
        <v>91.4</v>
      </c>
      <c r="K203" s="24">
        <f t="shared" si="6"/>
        <v>91.4</v>
      </c>
      <c r="L203" s="24">
        <v>109.46</v>
      </c>
      <c r="M203" s="2">
        <f t="shared" si="7"/>
        <v>18.059999999999988</v>
      </c>
      <c r="N203" t="str">
        <v>Low</v>
      </c>
      <c r="O203" t="s">
        <v>64</v>
      </c>
    </row>
    <row r="204" spans="1:15" x14ac:dyDescent="0.3">
      <c r="A204" t="s">
        <v>242</v>
      </c>
      <c r="B204" s="1">
        <v>45495</v>
      </c>
      <c r="C204" t="s">
        <v>1045</v>
      </c>
      <c r="D204" t="s">
        <v>1255</v>
      </c>
      <c r="E204" t="s">
        <v>59</v>
      </c>
      <c r="F204" t="s">
        <v>1323</v>
      </c>
      <c r="G204" t="s">
        <v>60</v>
      </c>
      <c r="H204" t="s">
        <v>52</v>
      </c>
      <c r="I204">
        <v>9</v>
      </c>
      <c r="J204" s="24">
        <v>99.15</v>
      </c>
      <c r="K204" s="24">
        <f t="shared" si="6"/>
        <v>892.35</v>
      </c>
      <c r="L204" s="24">
        <v>993.03</v>
      </c>
      <c r="M204" s="2">
        <f t="shared" si="7"/>
        <v>100.67999999999995</v>
      </c>
      <c r="N204" t="str">
        <v>Low</v>
      </c>
      <c r="O204" t="s">
        <v>63</v>
      </c>
    </row>
    <row r="205" spans="1:15" x14ac:dyDescent="0.3">
      <c r="A205" t="s">
        <v>243</v>
      </c>
      <c r="B205" s="1">
        <v>45496</v>
      </c>
      <c r="C205" t="s">
        <v>1138</v>
      </c>
      <c r="D205" t="s">
        <v>71</v>
      </c>
      <c r="E205" t="s">
        <v>1248</v>
      </c>
      <c r="F205" t="s">
        <v>1301</v>
      </c>
      <c r="G205" t="s">
        <v>60</v>
      </c>
      <c r="H205" t="s">
        <v>53</v>
      </c>
      <c r="I205">
        <v>2</v>
      </c>
      <c r="J205" s="24">
        <v>325.36</v>
      </c>
      <c r="K205" s="24">
        <f t="shared" si="6"/>
        <v>650.72</v>
      </c>
      <c r="L205" s="24">
        <v>776.73</v>
      </c>
      <c r="M205" s="2">
        <f t="shared" si="7"/>
        <v>126.00999999999999</v>
      </c>
      <c r="N205" t="str">
        <v>Low</v>
      </c>
      <c r="O205" t="s">
        <v>65</v>
      </c>
    </row>
    <row r="206" spans="1:15" x14ac:dyDescent="0.3">
      <c r="A206" t="s">
        <v>244</v>
      </c>
      <c r="B206" s="1">
        <v>45497</v>
      </c>
      <c r="C206" t="s">
        <v>1160</v>
      </c>
      <c r="D206" t="s">
        <v>71</v>
      </c>
      <c r="E206" t="s">
        <v>1240</v>
      </c>
      <c r="F206" t="s">
        <v>1275</v>
      </c>
      <c r="G206" t="s">
        <v>60</v>
      </c>
      <c r="H206" t="s">
        <v>52</v>
      </c>
      <c r="I206">
        <v>4</v>
      </c>
      <c r="J206" s="24">
        <v>69.13</v>
      </c>
      <c r="K206" s="24">
        <f t="shared" si="6"/>
        <v>276.52</v>
      </c>
      <c r="L206" s="24">
        <v>375.02</v>
      </c>
      <c r="M206" s="2">
        <f t="shared" si="7"/>
        <v>98.5</v>
      </c>
      <c r="N206" t="str">
        <v>Low</v>
      </c>
      <c r="O206" t="s">
        <v>64</v>
      </c>
    </row>
    <row r="207" spans="1:15" x14ac:dyDescent="0.3">
      <c r="A207" t="s">
        <v>245</v>
      </c>
      <c r="B207" s="1">
        <v>45498</v>
      </c>
      <c r="C207" t="s">
        <v>1171</v>
      </c>
      <c r="D207" t="s">
        <v>72</v>
      </c>
      <c r="E207" t="s">
        <v>1245</v>
      </c>
      <c r="F207" t="s">
        <v>1305</v>
      </c>
      <c r="G207" t="s">
        <v>60</v>
      </c>
      <c r="H207" t="s">
        <v>54</v>
      </c>
      <c r="I207">
        <v>4</v>
      </c>
      <c r="J207" s="24">
        <v>469.24</v>
      </c>
      <c r="K207" s="24">
        <f t="shared" si="6"/>
        <v>1876.96</v>
      </c>
      <c r="L207" s="24">
        <v>2667.87</v>
      </c>
      <c r="M207" s="2">
        <f t="shared" si="7"/>
        <v>790.90999999999985</v>
      </c>
      <c r="N207" t="str">
        <v>High</v>
      </c>
      <c r="O207" t="s">
        <v>63</v>
      </c>
    </row>
    <row r="208" spans="1:15" x14ac:dyDescent="0.3">
      <c r="A208" t="s">
        <v>246</v>
      </c>
      <c r="B208" s="1">
        <v>45499</v>
      </c>
      <c r="C208" t="s">
        <v>1101</v>
      </c>
      <c r="D208" t="s">
        <v>73</v>
      </c>
      <c r="E208" t="s">
        <v>1252</v>
      </c>
      <c r="F208" t="s">
        <v>1311</v>
      </c>
      <c r="G208" t="s">
        <v>60</v>
      </c>
      <c r="H208" t="s">
        <v>51</v>
      </c>
      <c r="I208">
        <v>8</v>
      </c>
      <c r="J208" s="24">
        <v>89.07</v>
      </c>
      <c r="K208" s="24">
        <f t="shared" si="6"/>
        <v>712.56</v>
      </c>
      <c r="L208" s="24">
        <v>926.76</v>
      </c>
      <c r="M208" s="2">
        <f t="shared" si="7"/>
        <v>214.20000000000005</v>
      </c>
      <c r="N208" t="str">
        <v>Low</v>
      </c>
      <c r="O208" t="s">
        <v>63</v>
      </c>
    </row>
    <row r="209" spans="1:15" x14ac:dyDescent="0.3">
      <c r="A209" t="s">
        <v>247</v>
      </c>
      <c r="B209" s="1">
        <v>45500</v>
      </c>
      <c r="C209" t="s">
        <v>1076</v>
      </c>
      <c r="D209" t="s">
        <v>74</v>
      </c>
      <c r="E209" t="s">
        <v>1244</v>
      </c>
      <c r="F209" t="s">
        <v>1264</v>
      </c>
      <c r="G209" t="s">
        <v>60</v>
      </c>
      <c r="H209" t="s">
        <v>54</v>
      </c>
      <c r="I209">
        <v>9</v>
      </c>
      <c r="J209" s="24">
        <v>38.630000000000003</v>
      </c>
      <c r="K209" s="24">
        <f t="shared" si="6"/>
        <v>347.67</v>
      </c>
      <c r="L209" s="24">
        <v>458.5</v>
      </c>
      <c r="M209" s="2">
        <f t="shared" si="7"/>
        <v>110.82999999999998</v>
      </c>
      <c r="N209" t="str">
        <v>Low</v>
      </c>
      <c r="O209" t="s">
        <v>64</v>
      </c>
    </row>
    <row r="210" spans="1:15" x14ac:dyDescent="0.3">
      <c r="A210" t="s">
        <v>248</v>
      </c>
      <c r="B210" s="1">
        <v>45501</v>
      </c>
      <c r="C210" t="s">
        <v>1106</v>
      </c>
      <c r="D210" t="s">
        <v>72</v>
      </c>
      <c r="E210" t="s">
        <v>1245</v>
      </c>
      <c r="F210" t="s">
        <v>1305</v>
      </c>
      <c r="G210" t="s">
        <v>60</v>
      </c>
      <c r="H210" t="s">
        <v>52</v>
      </c>
      <c r="I210">
        <v>10</v>
      </c>
      <c r="J210" s="24">
        <v>257.04000000000002</v>
      </c>
      <c r="K210" s="24">
        <f t="shared" si="6"/>
        <v>2570.4</v>
      </c>
      <c r="L210" s="24">
        <v>3204.7</v>
      </c>
      <c r="M210" s="2">
        <f t="shared" si="7"/>
        <v>634.29999999999973</v>
      </c>
      <c r="N210" t="str">
        <v>High</v>
      </c>
      <c r="O210" t="s">
        <v>63</v>
      </c>
    </row>
    <row r="211" spans="1:15" x14ac:dyDescent="0.3">
      <c r="A211" t="s">
        <v>249</v>
      </c>
      <c r="B211" s="1">
        <v>45502</v>
      </c>
      <c r="C211" t="s">
        <v>1055</v>
      </c>
      <c r="D211" t="s">
        <v>1255</v>
      </c>
      <c r="E211" t="s">
        <v>59</v>
      </c>
      <c r="F211" t="s">
        <v>1262</v>
      </c>
      <c r="G211" t="s">
        <v>60</v>
      </c>
      <c r="H211" t="s">
        <v>51</v>
      </c>
      <c r="I211">
        <v>7</v>
      </c>
      <c r="J211" s="24">
        <v>349.23</v>
      </c>
      <c r="K211" s="24">
        <f t="shared" si="6"/>
        <v>2444.61</v>
      </c>
      <c r="L211" s="24">
        <v>3510.03</v>
      </c>
      <c r="M211" s="2">
        <f t="shared" si="7"/>
        <v>1065.42</v>
      </c>
      <c r="N211" t="str">
        <v>High</v>
      </c>
      <c r="O211" t="s">
        <v>63</v>
      </c>
    </row>
    <row r="212" spans="1:15" x14ac:dyDescent="0.3">
      <c r="A212" t="s">
        <v>250</v>
      </c>
      <c r="B212" s="1">
        <v>45503</v>
      </c>
      <c r="C212" t="s">
        <v>1050</v>
      </c>
      <c r="D212" t="s">
        <v>71</v>
      </c>
      <c r="E212" t="s">
        <v>1248</v>
      </c>
      <c r="F212" t="s">
        <v>1329</v>
      </c>
      <c r="G212" t="s">
        <v>60</v>
      </c>
      <c r="H212" t="s">
        <v>54</v>
      </c>
      <c r="I212">
        <v>1</v>
      </c>
      <c r="J212" s="24">
        <v>143.66</v>
      </c>
      <c r="K212" s="24">
        <f t="shared" si="6"/>
        <v>143.66</v>
      </c>
      <c r="L212" s="24">
        <v>192.97</v>
      </c>
      <c r="M212" s="2">
        <f t="shared" si="7"/>
        <v>49.31</v>
      </c>
      <c r="N212" t="str">
        <v>Low</v>
      </c>
      <c r="O212" t="s">
        <v>63</v>
      </c>
    </row>
    <row r="213" spans="1:15" x14ac:dyDescent="0.3">
      <c r="A213" t="s">
        <v>251</v>
      </c>
      <c r="B213" s="1">
        <v>45504</v>
      </c>
      <c r="C213" t="s">
        <v>1115</v>
      </c>
      <c r="D213" t="s">
        <v>71</v>
      </c>
      <c r="E213" t="s">
        <v>1248</v>
      </c>
      <c r="F213" t="s">
        <v>1271</v>
      </c>
      <c r="G213" t="s">
        <v>60</v>
      </c>
      <c r="H213" t="s">
        <v>53</v>
      </c>
      <c r="I213">
        <v>9</v>
      </c>
      <c r="J213" s="24">
        <v>444.33</v>
      </c>
      <c r="K213" s="24">
        <f t="shared" si="6"/>
        <v>3998.97</v>
      </c>
      <c r="L213" s="24">
        <v>5287.06</v>
      </c>
      <c r="M213" s="2">
        <f t="shared" si="7"/>
        <v>1288.0900000000006</v>
      </c>
      <c r="N213" t="str">
        <v>High</v>
      </c>
      <c r="O213" t="s">
        <v>64</v>
      </c>
    </row>
    <row r="214" spans="1:15" x14ac:dyDescent="0.3">
      <c r="A214" t="s">
        <v>252</v>
      </c>
      <c r="B214" s="1">
        <v>45505</v>
      </c>
      <c r="C214" t="s">
        <v>1146</v>
      </c>
      <c r="D214" t="s">
        <v>71</v>
      </c>
      <c r="E214" t="s">
        <v>1251</v>
      </c>
      <c r="F214" t="s">
        <v>1276</v>
      </c>
      <c r="G214" t="s">
        <v>60</v>
      </c>
      <c r="H214" t="s">
        <v>51</v>
      </c>
      <c r="I214">
        <v>9</v>
      </c>
      <c r="J214" s="24">
        <v>263.68</v>
      </c>
      <c r="K214" s="24">
        <f t="shared" si="6"/>
        <v>2373.12</v>
      </c>
      <c r="L214" s="24">
        <v>3502.71</v>
      </c>
      <c r="M214" s="2">
        <f t="shared" si="7"/>
        <v>1129.5900000000001</v>
      </c>
      <c r="N214" t="str">
        <v>High</v>
      </c>
      <c r="O214" t="s">
        <v>65</v>
      </c>
    </row>
    <row r="215" spans="1:15" x14ac:dyDescent="0.3">
      <c r="A215" t="s">
        <v>253</v>
      </c>
      <c r="B215" s="1">
        <v>45506</v>
      </c>
      <c r="C215" t="s">
        <v>1041</v>
      </c>
      <c r="D215" t="s">
        <v>71</v>
      </c>
      <c r="E215" t="s">
        <v>1251</v>
      </c>
      <c r="F215" t="s">
        <v>1315</v>
      </c>
      <c r="G215" t="s">
        <v>60</v>
      </c>
      <c r="H215" t="s">
        <v>53</v>
      </c>
      <c r="I215">
        <v>8</v>
      </c>
      <c r="J215" s="24">
        <v>411.34</v>
      </c>
      <c r="K215" s="24">
        <f t="shared" si="6"/>
        <v>3290.72</v>
      </c>
      <c r="L215" s="24">
        <v>4454.47</v>
      </c>
      <c r="M215" s="2">
        <f t="shared" si="7"/>
        <v>1163.7500000000005</v>
      </c>
      <c r="N215" t="str">
        <v>High</v>
      </c>
      <c r="O215" t="s">
        <v>65</v>
      </c>
    </row>
    <row r="216" spans="1:15" x14ac:dyDescent="0.3">
      <c r="A216" t="s">
        <v>254</v>
      </c>
      <c r="B216" s="1">
        <v>45507</v>
      </c>
      <c r="C216" t="s">
        <v>1170</v>
      </c>
      <c r="D216" t="s">
        <v>71</v>
      </c>
      <c r="E216" t="s">
        <v>1248</v>
      </c>
      <c r="F216" t="s">
        <v>1301</v>
      </c>
      <c r="G216" t="s">
        <v>60</v>
      </c>
      <c r="H216" t="s">
        <v>51</v>
      </c>
      <c r="I216">
        <v>10</v>
      </c>
      <c r="J216" s="24">
        <v>337.13</v>
      </c>
      <c r="K216" s="24">
        <f t="shared" si="6"/>
        <v>3371.3</v>
      </c>
      <c r="L216" s="24">
        <v>3817.09</v>
      </c>
      <c r="M216" s="2">
        <f t="shared" si="7"/>
        <v>445.78999999999996</v>
      </c>
      <c r="N216" t="str">
        <v>High</v>
      </c>
      <c r="O216" t="s">
        <v>64</v>
      </c>
    </row>
    <row r="217" spans="1:15" x14ac:dyDescent="0.3">
      <c r="A217" t="s">
        <v>255</v>
      </c>
      <c r="B217" s="1">
        <v>45508</v>
      </c>
      <c r="C217" t="s">
        <v>1064</v>
      </c>
      <c r="D217" t="s">
        <v>71</v>
      </c>
      <c r="E217" t="s">
        <v>1251</v>
      </c>
      <c r="F217" t="s">
        <v>1276</v>
      </c>
      <c r="G217" t="s">
        <v>60</v>
      </c>
      <c r="H217" t="s">
        <v>51</v>
      </c>
      <c r="I217">
        <v>4</v>
      </c>
      <c r="J217" s="24">
        <v>323.24</v>
      </c>
      <c r="K217" s="24">
        <f t="shared" si="6"/>
        <v>1292.96</v>
      </c>
      <c r="L217" s="24">
        <v>1736.1</v>
      </c>
      <c r="M217" s="2">
        <f t="shared" si="7"/>
        <v>443.13999999999987</v>
      </c>
      <c r="N217" t="str">
        <v>Low</v>
      </c>
      <c r="O217" t="s">
        <v>63</v>
      </c>
    </row>
    <row r="218" spans="1:15" x14ac:dyDescent="0.3">
      <c r="A218" t="s">
        <v>256</v>
      </c>
      <c r="B218" s="1">
        <v>45509</v>
      </c>
      <c r="C218" t="s">
        <v>1162</v>
      </c>
      <c r="D218" t="s">
        <v>74</v>
      </c>
      <c r="E218" t="s">
        <v>1249</v>
      </c>
      <c r="F218" t="s">
        <v>1270</v>
      </c>
      <c r="G218" t="s">
        <v>60</v>
      </c>
      <c r="H218" t="s">
        <v>54</v>
      </c>
      <c r="I218">
        <v>6</v>
      </c>
      <c r="J218" s="24">
        <v>447.52</v>
      </c>
      <c r="K218" s="24">
        <f t="shared" si="6"/>
        <v>2685.12</v>
      </c>
      <c r="L218" s="24">
        <v>2996.79</v>
      </c>
      <c r="M218" s="2">
        <f t="shared" si="7"/>
        <v>311.67000000000007</v>
      </c>
      <c r="N218" t="str">
        <v>High</v>
      </c>
      <c r="O218" t="s">
        <v>65</v>
      </c>
    </row>
    <row r="219" spans="1:15" x14ac:dyDescent="0.3">
      <c r="A219" t="s">
        <v>257</v>
      </c>
      <c r="B219" s="1">
        <v>45510</v>
      </c>
      <c r="C219" t="s">
        <v>1172</v>
      </c>
      <c r="D219" t="s">
        <v>1255</v>
      </c>
      <c r="E219" t="s">
        <v>59</v>
      </c>
      <c r="F219" t="s">
        <v>1310</v>
      </c>
      <c r="G219" t="s">
        <v>60</v>
      </c>
      <c r="H219" t="s">
        <v>53</v>
      </c>
      <c r="I219">
        <v>4</v>
      </c>
      <c r="J219" s="24">
        <v>477.72</v>
      </c>
      <c r="K219" s="24">
        <f t="shared" si="6"/>
        <v>1910.88</v>
      </c>
      <c r="L219" s="24">
        <v>2843.15</v>
      </c>
      <c r="M219" s="2">
        <f t="shared" si="7"/>
        <v>932.27</v>
      </c>
      <c r="N219" t="str">
        <v>High</v>
      </c>
      <c r="O219" t="s">
        <v>63</v>
      </c>
    </row>
    <row r="220" spans="1:15" x14ac:dyDescent="0.3">
      <c r="A220" t="s">
        <v>258</v>
      </c>
      <c r="B220" s="1">
        <v>45511</v>
      </c>
      <c r="C220" t="s">
        <v>1144</v>
      </c>
      <c r="D220" t="s">
        <v>74</v>
      </c>
      <c r="E220" t="s">
        <v>1247</v>
      </c>
      <c r="F220" t="s">
        <v>1285</v>
      </c>
      <c r="G220" t="s">
        <v>60</v>
      </c>
      <c r="H220" t="s">
        <v>54</v>
      </c>
      <c r="I220">
        <v>4</v>
      </c>
      <c r="J220" s="24">
        <v>459.59</v>
      </c>
      <c r="K220" s="24">
        <f t="shared" si="6"/>
        <v>1838.36</v>
      </c>
      <c r="L220" s="24">
        <v>2363.3000000000002</v>
      </c>
      <c r="M220" s="2">
        <f t="shared" si="7"/>
        <v>524.94000000000028</v>
      </c>
      <c r="N220" t="str">
        <v>High</v>
      </c>
      <c r="O220" t="s">
        <v>63</v>
      </c>
    </row>
    <row r="221" spans="1:15" x14ac:dyDescent="0.3">
      <c r="A221" t="s">
        <v>259</v>
      </c>
      <c r="B221" s="1">
        <v>45512</v>
      </c>
      <c r="C221" t="s">
        <v>1173</v>
      </c>
      <c r="D221" t="s">
        <v>71</v>
      </c>
      <c r="E221" t="s">
        <v>1251</v>
      </c>
      <c r="F221" t="s">
        <v>1315</v>
      </c>
      <c r="G221" t="s">
        <v>60</v>
      </c>
      <c r="H221" t="s">
        <v>54</v>
      </c>
      <c r="I221">
        <v>9</v>
      </c>
      <c r="J221" s="24">
        <v>291.38</v>
      </c>
      <c r="K221" s="24">
        <f t="shared" si="6"/>
        <v>2622.42</v>
      </c>
      <c r="L221" s="24">
        <v>3809.29</v>
      </c>
      <c r="M221" s="2">
        <f t="shared" si="7"/>
        <v>1186.8699999999999</v>
      </c>
      <c r="N221" t="str">
        <v>High</v>
      </c>
      <c r="O221" t="s">
        <v>65</v>
      </c>
    </row>
    <row r="222" spans="1:15" x14ac:dyDescent="0.3">
      <c r="A222" t="s">
        <v>260</v>
      </c>
      <c r="B222" s="1">
        <v>45513</v>
      </c>
      <c r="C222" t="s">
        <v>1048</v>
      </c>
      <c r="D222" t="s">
        <v>74</v>
      </c>
      <c r="E222" t="s">
        <v>1244</v>
      </c>
      <c r="F222" t="s">
        <v>1330</v>
      </c>
      <c r="G222" t="s">
        <v>60</v>
      </c>
      <c r="H222" t="s">
        <v>54</v>
      </c>
      <c r="I222">
        <v>5</v>
      </c>
      <c r="J222" s="24">
        <v>262.58</v>
      </c>
      <c r="K222" s="24">
        <f t="shared" si="6"/>
        <v>1312.8999999999999</v>
      </c>
      <c r="L222" s="24">
        <v>1656.66</v>
      </c>
      <c r="M222" s="2">
        <f t="shared" si="7"/>
        <v>343.76000000000022</v>
      </c>
      <c r="N222" t="str">
        <v>Low</v>
      </c>
      <c r="O222" t="s">
        <v>64</v>
      </c>
    </row>
    <row r="223" spans="1:15" x14ac:dyDescent="0.3">
      <c r="A223" t="s">
        <v>261</v>
      </c>
      <c r="B223" s="1">
        <v>45514</v>
      </c>
      <c r="C223" t="s">
        <v>1112</v>
      </c>
      <c r="D223" t="s">
        <v>71</v>
      </c>
      <c r="E223" t="s">
        <v>1251</v>
      </c>
      <c r="F223" t="s">
        <v>1320</v>
      </c>
      <c r="G223" t="s">
        <v>60</v>
      </c>
      <c r="H223" t="s">
        <v>51</v>
      </c>
      <c r="I223">
        <v>10</v>
      </c>
      <c r="J223" s="24">
        <v>253.82</v>
      </c>
      <c r="K223" s="24">
        <f t="shared" si="6"/>
        <v>2538.1999999999998</v>
      </c>
      <c r="L223" s="24">
        <v>3400.91</v>
      </c>
      <c r="M223" s="2">
        <f t="shared" si="7"/>
        <v>862.71</v>
      </c>
      <c r="N223" t="str">
        <v>High</v>
      </c>
      <c r="O223" t="s">
        <v>64</v>
      </c>
    </row>
    <row r="224" spans="1:15" x14ac:dyDescent="0.3">
      <c r="A224" t="s">
        <v>262</v>
      </c>
      <c r="B224" s="1">
        <v>45515</v>
      </c>
      <c r="C224" t="s">
        <v>1065</v>
      </c>
      <c r="D224" t="s">
        <v>1255</v>
      </c>
      <c r="E224" t="s">
        <v>59</v>
      </c>
      <c r="F224" t="s">
        <v>1295</v>
      </c>
      <c r="G224" t="s">
        <v>60</v>
      </c>
      <c r="H224" t="s">
        <v>52</v>
      </c>
      <c r="I224">
        <v>6</v>
      </c>
      <c r="J224" s="24">
        <v>27.01</v>
      </c>
      <c r="K224" s="24">
        <f t="shared" si="6"/>
        <v>162.06</v>
      </c>
      <c r="L224" s="24">
        <v>182.59</v>
      </c>
      <c r="M224" s="2">
        <f t="shared" si="7"/>
        <v>20.53</v>
      </c>
      <c r="N224" t="str">
        <v>Low</v>
      </c>
      <c r="O224" t="s">
        <v>63</v>
      </c>
    </row>
    <row r="225" spans="1:15" x14ac:dyDescent="0.3">
      <c r="A225" t="s">
        <v>263</v>
      </c>
      <c r="B225" s="1">
        <v>45516</v>
      </c>
      <c r="C225" t="s">
        <v>1099</v>
      </c>
      <c r="D225" t="s">
        <v>71</v>
      </c>
      <c r="E225" t="s">
        <v>1248</v>
      </c>
      <c r="F225" t="s">
        <v>1301</v>
      </c>
      <c r="G225" t="s">
        <v>60</v>
      </c>
      <c r="H225" t="s">
        <v>52</v>
      </c>
      <c r="I225">
        <v>8</v>
      </c>
      <c r="J225" s="24">
        <v>352.29</v>
      </c>
      <c r="K225" s="24">
        <f t="shared" si="6"/>
        <v>2818.32</v>
      </c>
      <c r="L225" s="24">
        <v>3446.68</v>
      </c>
      <c r="M225" s="2">
        <f t="shared" si="7"/>
        <v>628.35999999999967</v>
      </c>
      <c r="N225" t="str">
        <v>High</v>
      </c>
      <c r="O225" t="s">
        <v>63</v>
      </c>
    </row>
    <row r="226" spans="1:15" x14ac:dyDescent="0.3">
      <c r="A226" t="s">
        <v>264</v>
      </c>
      <c r="B226" s="1">
        <v>45517</v>
      </c>
      <c r="C226" t="s">
        <v>1042</v>
      </c>
      <c r="D226" t="s">
        <v>72</v>
      </c>
      <c r="E226" t="s">
        <v>1246</v>
      </c>
      <c r="F226" t="s">
        <v>1286</v>
      </c>
      <c r="G226" t="s">
        <v>60</v>
      </c>
      <c r="H226" t="s">
        <v>53</v>
      </c>
      <c r="I226">
        <v>3</v>
      </c>
      <c r="J226" s="24">
        <v>222.18</v>
      </c>
      <c r="K226" s="24">
        <f t="shared" si="6"/>
        <v>666.54</v>
      </c>
      <c r="L226" s="24">
        <v>880.28</v>
      </c>
      <c r="M226" s="2">
        <f t="shared" si="7"/>
        <v>213.74</v>
      </c>
      <c r="N226" t="str">
        <v>Low</v>
      </c>
      <c r="O226" t="s">
        <v>65</v>
      </c>
    </row>
    <row r="227" spans="1:15" x14ac:dyDescent="0.3">
      <c r="A227" t="s">
        <v>265</v>
      </c>
      <c r="B227" s="1">
        <v>45518</v>
      </c>
      <c r="C227" t="s">
        <v>1049</v>
      </c>
      <c r="D227" t="s">
        <v>72</v>
      </c>
      <c r="E227" t="s">
        <v>1245</v>
      </c>
      <c r="F227" t="s">
        <v>1265</v>
      </c>
      <c r="G227" t="s">
        <v>60</v>
      </c>
      <c r="H227" t="s">
        <v>52</v>
      </c>
      <c r="I227">
        <v>1</v>
      </c>
      <c r="J227" s="24">
        <v>366.22</v>
      </c>
      <c r="K227" s="24">
        <f t="shared" si="6"/>
        <v>366.22</v>
      </c>
      <c r="L227" s="24">
        <v>434.09</v>
      </c>
      <c r="M227" s="2">
        <f t="shared" si="7"/>
        <v>67.869999999999948</v>
      </c>
      <c r="N227" t="str">
        <v>Low</v>
      </c>
      <c r="O227" t="s">
        <v>63</v>
      </c>
    </row>
    <row r="228" spans="1:15" x14ac:dyDescent="0.3">
      <c r="A228" t="s">
        <v>266</v>
      </c>
      <c r="B228" s="1">
        <v>45519</v>
      </c>
      <c r="C228" t="s">
        <v>1127</v>
      </c>
      <c r="D228" t="s">
        <v>71</v>
      </c>
      <c r="E228" t="s">
        <v>1254</v>
      </c>
      <c r="F228" t="s">
        <v>1307</v>
      </c>
      <c r="G228" t="s">
        <v>60</v>
      </c>
      <c r="H228" t="s">
        <v>53</v>
      </c>
      <c r="I228">
        <v>4</v>
      </c>
      <c r="J228" s="24">
        <v>449.27</v>
      </c>
      <c r="K228" s="24">
        <f t="shared" si="6"/>
        <v>1797.08</v>
      </c>
      <c r="L228" s="24">
        <v>2410.84</v>
      </c>
      <c r="M228" s="2">
        <f t="shared" si="7"/>
        <v>613.76000000000022</v>
      </c>
      <c r="N228" t="str">
        <v>High</v>
      </c>
      <c r="O228" t="s">
        <v>65</v>
      </c>
    </row>
    <row r="229" spans="1:15" x14ac:dyDescent="0.3">
      <c r="A229" t="s">
        <v>267</v>
      </c>
      <c r="B229" s="1">
        <v>45520</v>
      </c>
      <c r="C229" t="s">
        <v>1110</v>
      </c>
      <c r="D229" t="s">
        <v>73</v>
      </c>
      <c r="E229" t="s">
        <v>1243</v>
      </c>
      <c r="F229" t="s">
        <v>1306</v>
      </c>
      <c r="G229" t="s">
        <v>60</v>
      </c>
      <c r="H229" t="s">
        <v>51</v>
      </c>
      <c r="I229">
        <v>9</v>
      </c>
      <c r="J229" s="24">
        <v>180.04</v>
      </c>
      <c r="K229" s="24">
        <f t="shared" si="6"/>
        <v>1620.36</v>
      </c>
      <c r="L229" s="24">
        <v>2401.94</v>
      </c>
      <c r="M229" s="2">
        <f t="shared" si="7"/>
        <v>781.58000000000015</v>
      </c>
      <c r="N229" t="str">
        <v>High</v>
      </c>
      <c r="O229" t="s">
        <v>63</v>
      </c>
    </row>
    <row r="230" spans="1:15" x14ac:dyDescent="0.3">
      <c r="A230" t="s">
        <v>268</v>
      </c>
      <c r="B230" s="1">
        <v>45521</v>
      </c>
      <c r="C230" t="s">
        <v>1065</v>
      </c>
      <c r="D230" t="s">
        <v>71</v>
      </c>
      <c r="E230" t="s">
        <v>1248</v>
      </c>
      <c r="F230" t="s">
        <v>1271</v>
      </c>
      <c r="G230" t="s">
        <v>60</v>
      </c>
      <c r="H230" t="s">
        <v>52</v>
      </c>
      <c r="I230">
        <v>1</v>
      </c>
      <c r="J230" s="24">
        <v>430.67</v>
      </c>
      <c r="K230" s="24">
        <f t="shared" si="6"/>
        <v>430.67</v>
      </c>
      <c r="L230" s="24">
        <v>572.28</v>
      </c>
      <c r="M230" s="2">
        <f t="shared" si="7"/>
        <v>141.60999999999996</v>
      </c>
      <c r="N230" t="str">
        <v>Low</v>
      </c>
      <c r="O230" t="s">
        <v>65</v>
      </c>
    </row>
    <row r="231" spans="1:15" x14ac:dyDescent="0.3">
      <c r="A231" t="s">
        <v>269</v>
      </c>
      <c r="B231" s="1">
        <v>45522</v>
      </c>
      <c r="C231" t="s">
        <v>1174</v>
      </c>
      <c r="D231" t="s">
        <v>72</v>
      </c>
      <c r="E231" t="s">
        <v>1242</v>
      </c>
      <c r="F231" t="s">
        <v>1288</v>
      </c>
      <c r="G231" t="s">
        <v>60</v>
      </c>
      <c r="H231" t="s">
        <v>54</v>
      </c>
      <c r="I231">
        <v>5</v>
      </c>
      <c r="J231" s="24">
        <v>184.5</v>
      </c>
      <c r="K231" s="24">
        <f t="shared" si="6"/>
        <v>922.5</v>
      </c>
      <c r="L231" s="24">
        <v>1216.96</v>
      </c>
      <c r="M231" s="2">
        <f t="shared" si="7"/>
        <v>294.46000000000004</v>
      </c>
      <c r="N231" t="str">
        <v>Low</v>
      </c>
      <c r="O231" t="s">
        <v>63</v>
      </c>
    </row>
    <row r="232" spans="1:15" x14ac:dyDescent="0.3">
      <c r="A232" t="s">
        <v>270</v>
      </c>
      <c r="B232" s="1">
        <v>45523</v>
      </c>
      <c r="C232" t="s">
        <v>1175</v>
      </c>
      <c r="D232" t="s">
        <v>72</v>
      </c>
      <c r="E232" t="s">
        <v>1242</v>
      </c>
      <c r="F232" t="s">
        <v>1259</v>
      </c>
      <c r="G232" t="s">
        <v>60</v>
      </c>
      <c r="H232" t="s">
        <v>51</v>
      </c>
      <c r="I232">
        <v>10</v>
      </c>
      <c r="J232" s="24">
        <v>204.17</v>
      </c>
      <c r="K232" s="24">
        <f t="shared" si="6"/>
        <v>2041.6999999999998</v>
      </c>
      <c r="L232" s="24">
        <v>2828.46</v>
      </c>
      <c r="M232" s="2">
        <f t="shared" si="7"/>
        <v>786.76000000000022</v>
      </c>
      <c r="N232" t="str">
        <v>High</v>
      </c>
      <c r="O232" t="s">
        <v>64</v>
      </c>
    </row>
    <row r="233" spans="1:15" x14ac:dyDescent="0.3">
      <c r="A233" t="s">
        <v>271</v>
      </c>
      <c r="B233" s="1">
        <v>45524</v>
      </c>
      <c r="C233" t="s">
        <v>1176</v>
      </c>
      <c r="D233" t="s">
        <v>74</v>
      </c>
      <c r="E233" t="s">
        <v>1249</v>
      </c>
      <c r="F233" t="s">
        <v>1325</v>
      </c>
      <c r="G233" t="s">
        <v>60</v>
      </c>
      <c r="H233" t="s">
        <v>51</v>
      </c>
      <c r="I233">
        <v>2</v>
      </c>
      <c r="J233" s="24">
        <v>355.12</v>
      </c>
      <c r="K233" s="24">
        <f t="shared" si="6"/>
        <v>710.24</v>
      </c>
      <c r="L233" s="24">
        <v>814.21</v>
      </c>
      <c r="M233" s="2">
        <f t="shared" si="7"/>
        <v>103.97000000000003</v>
      </c>
      <c r="N233" t="str">
        <v>Low</v>
      </c>
      <c r="O233" t="s">
        <v>64</v>
      </c>
    </row>
    <row r="234" spans="1:15" x14ac:dyDescent="0.3">
      <c r="A234" t="s">
        <v>272</v>
      </c>
      <c r="B234" s="1">
        <v>45525</v>
      </c>
      <c r="C234" t="s">
        <v>1056</v>
      </c>
      <c r="D234" t="s">
        <v>73</v>
      </c>
      <c r="E234" t="s">
        <v>1252</v>
      </c>
      <c r="F234" t="s">
        <v>1278</v>
      </c>
      <c r="G234" t="s">
        <v>60</v>
      </c>
      <c r="H234" t="s">
        <v>51</v>
      </c>
      <c r="I234">
        <v>5</v>
      </c>
      <c r="J234" s="24">
        <v>462.06</v>
      </c>
      <c r="K234" s="24">
        <f t="shared" si="6"/>
        <v>2310.3000000000002</v>
      </c>
      <c r="L234" s="24">
        <v>2699</v>
      </c>
      <c r="M234" s="2">
        <f t="shared" si="7"/>
        <v>388.69999999999982</v>
      </c>
      <c r="N234" t="str">
        <v>High</v>
      </c>
      <c r="O234" t="s">
        <v>64</v>
      </c>
    </row>
    <row r="235" spans="1:15" x14ac:dyDescent="0.3">
      <c r="A235" t="s">
        <v>273</v>
      </c>
      <c r="B235" s="1">
        <v>45526</v>
      </c>
      <c r="C235" t="s">
        <v>1104</v>
      </c>
      <c r="D235" t="s">
        <v>71</v>
      </c>
      <c r="E235" t="s">
        <v>1254</v>
      </c>
      <c r="F235" t="s">
        <v>1304</v>
      </c>
      <c r="G235" t="s">
        <v>60</v>
      </c>
      <c r="H235" t="s">
        <v>53</v>
      </c>
      <c r="I235">
        <v>8</v>
      </c>
      <c r="J235" s="24">
        <v>198.2</v>
      </c>
      <c r="K235" s="24">
        <f t="shared" si="6"/>
        <v>1585.6</v>
      </c>
      <c r="L235" s="24">
        <v>2235.54</v>
      </c>
      <c r="M235" s="2">
        <f t="shared" si="7"/>
        <v>649.94000000000005</v>
      </c>
      <c r="N235" t="str">
        <v>High</v>
      </c>
      <c r="O235" t="s">
        <v>65</v>
      </c>
    </row>
    <row r="236" spans="1:15" x14ac:dyDescent="0.3">
      <c r="A236" t="s">
        <v>274</v>
      </c>
      <c r="B236" s="1">
        <v>45527</v>
      </c>
      <c r="C236" t="s">
        <v>1147</v>
      </c>
      <c r="D236" t="s">
        <v>73</v>
      </c>
      <c r="E236" t="s">
        <v>1243</v>
      </c>
      <c r="F236" t="s">
        <v>1272</v>
      </c>
      <c r="G236" t="s">
        <v>60</v>
      </c>
      <c r="H236" t="s">
        <v>51</v>
      </c>
      <c r="I236">
        <v>1</v>
      </c>
      <c r="J236" s="24">
        <v>498.47</v>
      </c>
      <c r="K236" s="24">
        <f t="shared" si="6"/>
        <v>498.47</v>
      </c>
      <c r="L236" s="24">
        <v>683.56</v>
      </c>
      <c r="M236" s="2">
        <f t="shared" si="7"/>
        <v>185.08999999999992</v>
      </c>
      <c r="N236" t="str">
        <v>Low</v>
      </c>
      <c r="O236" t="s">
        <v>64</v>
      </c>
    </row>
    <row r="237" spans="1:15" x14ac:dyDescent="0.3">
      <c r="A237" t="s">
        <v>275</v>
      </c>
      <c r="B237" s="1">
        <v>45528</v>
      </c>
      <c r="C237" t="s">
        <v>1177</v>
      </c>
      <c r="D237" t="s">
        <v>1255</v>
      </c>
      <c r="E237" t="s">
        <v>59</v>
      </c>
      <c r="F237" t="s">
        <v>1295</v>
      </c>
      <c r="G237" t="s">
        <v>60</v>
      </c>
      <c r="H237" t="s">
        <v>51</v>
      </c>
      <c r="I237">
        <v>7</v>
      </c>
      <c r="J237" s="24">
        <v>158.21</v>
      </c>
      <c r="K237" s="24">
        <f t="shared" si="6"/>
        <v>1107.47</v>
      </c>
      <c r="L237" s="24">
        <v>1241.0999999999999</v>
      </c>
      <c r="M237" s="2">
        <f t="shared" si="7"/>
        <v>133.62999999999988</v>
      </c>
      <c r="N237" t="str">
        <v>Low</v>
      </c>
      <c r="O237" t="s">
        <v>63</v>
      </c>
    </row>
    <row r="238" spans="1:15" x14ac:dyDescent="0.3">
      <c r="A238" t="s">
        <v>276</v>
      </c>
      <c r="B238" s="1">
        <v>45529</v>
      </c>
      <c r="C238" t="s">
        <v>1094</v>
      </c>
      <c r="D238" t="s">
        <v>72</v>
      </c>
      <c r="E238" t="s">
        <v>1245</v>
      </c>
      <c r="F238" t="s">
        <v>1328</v>
      </c>
      <c r="G238" t="s">
        <v>60</v>
      </c>
      <c r="H238" t="s">
        <v>53</v>
      </c>
      <c r="I238">
        <v>9</v>
      </c>
      <c r="J238" s="24">
        <v>65.75</v>
      </c>
      <c r="K238" s="24">
        <f t="shared" si="6"/>
        <v>591.75</v>
      </c>
      <c r="L238" s="24">
        <v>766.94</v>
      </c>
      <c r="M238" s="2">
        <f t="shared" si="7"/>
        <v>175.19000000000005</v>
      </c>
      <c r="N238" t="str">
        <v>Low</v>
      </c>
      <c r="O238" t="s">
        <v>65</v>
      </c>
    </row>
    <row r="239" spans="1:15" x14ac:dyDescent="0.3">
      <c r="A239" t="s">
        <v>277</v>
      </c>
      <c r="B239" s="1">
        <v>45530</v>
      </c>
      <c r="C239" t="s">
        <v>1089</v>
      </c>
      <c r="D239" t="s">
        <v>71</v>
      </c>
      <c r="E239" t="s">
        <v>1254</v>
      </c>
      <c r="F239" t="s">
        <v>1292</v>
      </c>
      <c r="G239" t="s">
        <v>60</v>
      </c>
      <c r="H239" t="s">
        <v>53</v>
      </c>
      <c r="I239">
        <v>2</v>
      </c>
      <c r="J239" s="24">
        <v>441.56</v>
      </c>
      <c r="K239" s="24">
        <f t="shared" si="6"/>
        <v>883.12</v>
      </c>
      <c r="L239" s="24">
        <v>1193.96</v>
      </c>
      <c r="M239" s="2">
        <f t="shared" si="7"/>
        <v>310.84000000000003</v>
      </c>
      <c r="N239" t="str">
        <v>Low</v>
      </c>
      <c r="O239" t="s">
        <v>64</v>
      </c>
    </row>
    <row r="240" spans="1:15" x14ac:dyDescent="0.3">
      <c r="A240" t="s">
        <v>278</v>
      </c>
      <c r="B240" s="1">
        <v>45531</v>
      </c>
      <c r="C240" t="s">
        <v>1161</v>
      </c>
      <c r="D240" t="s">
        <v>72</v>
      </c>
      <c r="E240" t="s">
        <v>1242</v>
      </c>
      <c r="F240" t="s">
        <v>1259</v>
      </c>
      <c r="G240" t="s">
        <v>60</v>
      </c>
      <c r="H240" t="s">
        <v>53</v>
      </c>
      <c r="I240">
        <v>9</v>
      </c>
      <c r="J240" s="24">
        <v>317.72000000000003</v>
      </c>
      <c r="K240" s="24">
        <f t="shared" si="6"/>
        <v>2859.4800000000005</v>
      </c>
      <c r="L240" s="24">
        <v>4111.9399999999996</v>
      </c>
      <c r="M240" s="2">
        <f t="shared" si="7"/>
        <v>1252.4599999999991</v>
      </c>
      <c r="N240" t="str">
        <v>High</v>
      </c>
      <c r="O240" t="s">
        <v>64</v>
      </c>
    </row>
    <row r="241" spans="1:15" x14ac:dyDescent="0.3">
      <c r="A241" t="s">
        <v>279</v>
      </c>
      <c r="B241" s="1">
        <v>45532</v>
      </c>
      <c r="C241" t="s">
        <v>1115</v>
      </c>
      <c r="D241" t="s">
        <v>74</v>
      </c>
      <c r="E241" t="s">
        <v>1244</v>
      </c>
      <c r="F241" t="s">
        <v>58</v>
      </c>
      <c r="G241" t="s">
        <v>60</v>
      </c>
      <c r="H241" t="s">
        <v>51</v>
      </c>
      <c r="I241">
        <v>5</v>
      </c>
      <c r="J241" s="24">
        <v>362.83</v>
      </c>
      <c r="K241" s="24">
        <f t="shared" si="6"/>
        <v>1814.1499999999999</v>
      </c>
      <c r="L241" s="24">
        <v>2560.31</v>
      </c>
      <c r="M241" s="2">
        <f t="shared" si="7"/>
        <v>746.16000000000008</v>
      </c>
      <c r="N241" t="str">
        <v>High</v>
      </c>
      <c r="O241" t="s">
        <v>63</v>
      </c>
    </row>
    <row r="242" spans="1:15" x14ac:dyDescent="0.3">
      <c r="A242" t="s">
        <v>280</v>
      </c>
      <c r="B242" s="1">
        <v>45533</v>
      </c>
      <c r="C242" t="s">
        <v>1178</v>
      </c>
      <c r="D242" t="s">
        <v>1255</v>
      </c>
      <c r="E242" t="s">
        <v>59</v>
      </c>
      <c r="F242" t="s">
        <v>1266</v>
      </c>
      <c r="G242" t="s">
        <v>60</v>
      </c>
      <c r="H242" t="s">
        <v>54</v>
      </c>
      <c r="I242">
        <v>9</v>
      </c>
      <c r="J242" s="24">
        <v>123.38</v>
      </c>
      <c r="K242" s="24">
        <f t="shared" si="6"/>
        <v>1110.42</v>
      </c>
      <c r="L242" s="24">
        <v>1427.4</v>
      </c>
      <c r="M242" s="2">
        <f t="shared" si="7"/>
        <v>316.98</v>
      </c>
      <c r="N242" t="str">
        <v>Low</v>
      </c>
      <c r="O242" t="s">
        <v>65</v>
      </c>
    </row>
    <row r="243" spans="1:15" x14ac:dyDescent="0.3">
      <c r="A243" t="s">
        <v>281</v>
      </c>
      <c r="B243" s="1">
        <v>45534</v>
      </c>
      <c r="C243" t="s">
        <v>1179</v>
      </c>
      <c r="D243" t="s">
        <v>74</v>
      </c>
      <c r="E243" t="s">
        <v>1247</v>
      </c>
      <c r="F243" t="s">
        <v>1285</v>
      </c>
      <c r="G243" t="s">
        <v>60</v>
      </c>
      <c r="H243" t="s">
        <v>51</v>
      </c>
      <c r="I243">
        <v>9</v>
      </c>
      <c r="J243" s="24">
        <v>492.06</v>
      </c>
      <c r="K243" s="24">
        <f t="shared" si="6"/>
        <v>4428.54</v>
      </c>
      <c r="L243" s="24">
        <v>5798.39</v>
      </c>
      <c r="M243" s="2">
        <f t="shared" si="7"/>
        <v>1369.8500000000004</v>
      </c>
      <c r="N243" t="str">
        <v>High</v>
      </c>
      <c r="O243" t="s">
        <v>65</v>
      </c>
    </row>
    <row r="244" spans="1:15" x14ac:dyDescent="0.3">
      <c r="A244" t="s">
        <v>282</v>
      </c>
      <c r="B244" s="1">
        <v>45535</v>
      </c>
      <c r="C244" t="s">
        <v>1180</v>
      </c>
      <c r="D244" t="s">
        <v>72</v>
      </c>
      <c r="E244" t="s">
        <v>1246</v>
      </c>
      <c r="F244" t="s">
        <v>1300</v>
      </c>
      <c r="G244" t="s">
        <v>60</v>
      </c>
      <c r="H244" t="s">
        <v>52</v>
      </c>
      <c r="I244">
        <v>4</v>
      </c>
      <c r="J244" s="24">
        <v>68.31</v>
      </c>
      <c r="K244" s="24">
        <f t="shared" si="6"/>
        <v>273.24</v>
      </c>
      <c r="L244" s="24">
        <v>372.12</v>
      </c>
      <c r="M244" s="2">
        <f t="shared" si="7"/>
        <v>98.88</v>
      </c>
      <c r="N244" t="str">
        <v>Low</v>
      </c>
      <c r="O244" t="s">
        <v>63</v>
      </c>
    </row>
    <row r="245" spans="1:15" x14ac:dyDescent="0.3">
      <c r="A245" t="s">
        <v>283</v>
      </c>
      <c r="B245" s="1">
        <v>45536</v>
      </c>
      <c r="C245" t="s">
        <v>1113</v>
      </c>
      <c r="D245" t="s">
        <v>72</v>
      </c>
      <c r="E245" t="s">
        <v>1242</v>
      </c>
      <c r="F245" t="s">
        <v>1280</v>
      </c>
      <c r="G245" t="s">
        <v>60</v>
      </c>
      <c r="H245" t="s">
        <v>51</v>
      </c>
      <c r="I245">
        <v>2</v>
      </c>
      <c r="J245" s="24">
        <v>264.08999999999997</v>
      </c>
      <c r="K245" s="24">
        <f t="shared" si="6"/>
        <v>528.17999999999995</v>
      </c>
      <c r="L245" s="24">
        <v>591.75</v>
      </c>
      <c r="M245" s="2">
        <f t="shared" si="7"/>
        <v>63.57000000000005</v>
      </c>
      <c r="N245" t="str">
        <v>Low</v>
      </c>
      <c r="O245" t="s">
        <v>65</v>
      </c>
    </row>
    <row r="246" spans="1:15" x14ac:dyDescent="0.3">
      <c r="A246" t="s">
        <v>284</v>
      </c>
      <c r="B246" s="1">
        <v>45537</v>
      </c>
      <c r="C246" t="s">
        <v>1162</v>
      </c>
      <c r="D246" t="s">
        <v>72</v>
      </c>
      <c r="E246" t="s">
        <v>1246</v>
      </c>
      <c r="F246" t="s">
        <v>1293</v>
      </c>
      <c r="G246" t="s">
        <v>60</v>
      </c>
      <c r="H246" t="s">
        <v>51</v>
      </c>
      <c r="I246">
        <v>7</v>
      </c>
      <c r="J246" s="24">
        <v>239.11</v>
      </c>
      <c r="K246" s="24">
        <f t="shared" si="6"/>
        <v>1673.77</v>
      </c>
      <c r="L246" s="24">
        <v>2274.91</v>
      </c>
      <c r="M246" s="2">
        <f t="shared" si="7"/>
        <v>601.13999999999987</v>
      </c>
      <c r="N246" t="str">
        <v>High</v>
      </c>
      <c r="O246" t="s">
        <v>63</v>
      </c>
    </row>
    <row r="247" spans="1:15" x14ac:dyDescent="0.3">
      <c r="A247" t="s">
        <v>285</v>
      </c>
      <c r="B247" s="1">
        <v>45538</v>
      </c>
      <c r="C247" t="s">
        <v>1151</v>
      </c>
      <c r="D247" t="s">
        <v>72</v>
      </c>
      <c r="E247" t="s">
        <v>1246</v>
      </c>
      <c r="F247" t="s">
        <v>1267</v>
      </c>
      <c r="G247" t="s">
        <v>60</v>
      </c>
      <c r="H247" t="s">
        <v>54</v>
      </c>
      <c r="I247">
        <v>6</v>
      </c>
      <c r="J247" s="24">
        <v>97.44</v>
      </c>
      <c r="K247" s="24">
        <f t="shared" si="6"/>
        <v>584.64</v>
      </c>
      <c r="L247" s="24">
        <v>869.76</v>
      </c>
      <c r="M247" s="2">
        <f t="shared" si="7"/>
        <v>285.12</v>
      </c>
      <c r="N247" t="str">
        <v>Low</v>
      </c>
      <c r="O247" t="s">
        <v>65</v>
      </c>
    </row>
    <row r="248" spans="1:15" x14ac:dyDescent="0.3">
      <c r="A248" t="s">
        <v>286</v>
      </c>
      <c r="B248" s="1">
        <v>45539</v>
      </c>
      <c r="C248" t="s">
        <v>1087</v>
      </c>
      <c r="D248" t="s">
        <v>71</v>
      </c>
      <c r="E248" t="s">
        <v>1248</v>
      </c>
      <c r="F248" t="s">
        <v>1301</v>
      </c>
      <c r="G248" t="s">
        <v>60</v>
      </c>
      <c r="H248" t="s">
        <v>53</v>
      </c>
      <c r="I248">
        <v>4</v>
      </c>
      <c r="J248" s="24">
        <v>74.22</v>
      </c>
      <c r="K248" s="24">
        <f t="shared" si="6"/>
        <v>296.88</v>
      </c>
      <c r="L248" s="24">
        <v>400.27</v>
      </c>
      <c r="M248" s="2">
        <f t="shared" si="7"/>
        <v>103.38999999999999</v>
      </c>
      <c r="N248" t="str">
        <v>Low</v>
      </c>
      <c r="O248" t="s">
        <v>64</v>
      </c>
    </row>
    <row r="249" spans="1:15" x14ac:dyDescent="0.3">
      <c r="A249" t="s">
        <v>287</v>
      </c>
      <c r="B249" s="1">
        <v>45540</v>
      </c>
      <c r="C249" t="s">
        <v>1174</v>
      </c>
      <c r="D249" t="s">
        <v>1255</v>
      </c>
      <c r="E249" t="s">
        <v>59</v>
      </c>
      <c r="F249" t="s">
        <v>1295</v>
      </c>
      <c r="G249" t="s">
        <v>60</v>
      </c>
      <c r="H249" t="s">
        <v>53</v>
      </c>
      <c r="I249">
        <v>4</v>
      </c>
      <c r="J249" s="24">
        <v>146.28</v>
      </c>
      <c r="K249" s="24">
        <f t="shared" si="6"/>
        <v>585.12</v>
      </c>
      <c r="L249" s="24">
        <v>788.3</v>
      </c>
      <c r="M249" s="2">
        <f t="shared" si="7"/>
        <v>203.17999999999995</v>
      </c>
      <c r="N249" t="str">
        <v>Low</v>
      </c>
      <c r="O249" t="s">
        <v>63</v>
      </c>
    </row>
    <row r="250" spans="1:15" x14ac:dyDescent="0.3">
      <c r="A250" t="s">
        <v>288</v>
      </c>
      <c r="B250" s="1">
        <v>45541</v>
      </c>
      <c r="C250" t="s">
        <v>1157</v>
      </c>
      <c r="D250" t="s">
        <v>72</v>
      </c>
      <c r="E250" t="s">
        <v>1246</v>
      </c>
      <c r="F250" t="s">
        <v>1293</v>
      </c>
      <c r="G250" t="s">
        <v>60</v>
      </c>
      <c r="H250" t="s">
        <v>51</v>
      </c>
      <c r="I250">
        <v>9</v>
      </c>
      <c r="J250" s="24">
        <v>198.92</v>
      </c>
      <c r="K250" s="24">
        <f t="shared" si="6"/>
        <v>1790.28</v>
      </c>
      <c r="L250" s="24">
        <v>2379.87</v>
      </c>
      <c r="M250" s="2">
        <f t="shared" si="7"/>
        <v>589.58999999999992</v>
      </c>
      <c r="N250" t="str">
        <v>High</v>
      </c>
      <c r="O250" t="s">
        <v>65</v>
      </c>
    </row>
    <row r="251" spans="1:15" x14ac:dyDescent="0.3">
      <c r="A251" t="s">
        <v>289</v>
      </c>
      <c r="B251" s="1">
        <v>45542</v>
      </c>
      <c r="C251" t="s">
        <v>1115</v>
      </c>
      <c r="D251" t="s">
        <v>71</v>
      </c>
      <c r="E251" t="s">
        <v>1254</v>
      </c>
      <c r="F251" t="s">
        <v>1292</v>
      </c>
      <c r="G251" t="s">
        <v>60</v>
      </c>
      <c r="H251" t="s">
        <v>53</v>
      </c>
      <c r="I251">
        <v>6</v>
      </c>
      <c r="J251" s="24">
        <v>54.82</v>
      </c>
      <c r="K251" s="24">
        <f t="shared" si="6"/>
        <v>328.92</v>
      </c>
      <c r="L251" s="24">
        <v>367.83</v>
      </c>
      <c r="M251" s="2">
        <f t="shared" si="7"/>
        <v>38.909999999999968</v>
      </c>
      <c r="N251" t="str">
        <v>Low</v>
      </c>
      <c r="O251" t="s">
        <v>65</v>
      </c>
    </row>
    <row r="252" spans="1:15" x14ac:dyDescent="0.3">
      <c r="A252" t="s">
        <v>290</v>
      </c>
      <c r="B252" s="1">
        <v>45543</v>
      </c>
      <c r="C252" t="s">
        <v>1181</v>
      </c>
      <c r="D252" t="s">
        <v>71</v>
      </c>
      <c r="E252" t="s">
        <v>1241</v>
      </c>
      <c r="F252" t="s">
        <v>57</v>
      </c>
      <c r="G252" t="s">
        <v>60</v>
      </c>
      <c r="H252" t="s">
        <v>53</v>
      </c>
      <c r="I252">
        <v>6</v>
      </c>
      <c r="J252" s="24">
        <v>41.93</v>
      </c>
      <c r="K252" s="24">
        <f t="shared" si="6"/>
        <v>251.57999999999998</v>
      </c>
      <c r="L252" s="24">
        <v>320.2</v>
      </c>
      <c r="M252" s="2">
        <f t="shared" si="7"/>
        <v>68.62</v>
      </c>
      <c r="N252" t="str">
        <v>Low</v>
      </c>
      <c r="O252" t="s">
        <v>64</v>
      </c>
    </row>
    <row r="253" spans="1:15" x14ac:dyDescent="0.3">
      <c r="A253" t="s">
        <v>291</v>
      </c>
      <c r="B253" s="1">
        <v>45544</v>
      </c>
      <c r="C253" t="s">
        <v>1136</v>
      </c>
      <c r="D253" t="s">
        <v>71</v>
      </c>
      <c r="E253" t="s">
        <v>1241</v>
      </c>
      <c r="F253" t="s">
        <v>1287</v>
      </c>
      <c r="G253" t="s">
        <v>60</v>
      </c>
      <c r="H253" t="s">
        <v>52</v>
      </c>
      <c r="I253">
        <v>9</v>
      </c>
      <c r="J253" s="24">
        <v>361.43</v>
      </c>
      <c r="K253" s="24">
        <f t="shared" si="6"/>
        <v>3252.87</v>
      </c>
      <c r="L253" s="24">
        <v>4349.1000000000004</v>
      </c>
      <c r="M253" s="2">
        <f t="shared" si="7"/>
        <v>1096.2300000000005</v>
      </c>
      <c r="N253" t="str">
        <v>High</v>
      </c>
      <c r="O253" t="s">
        <v>63</v>
      </c>
    </row>
    <row r="254" spans="1:15" x14ac:dyDescent="0.3">
      <c r="A254" t="s">
        <v>292</v>
      </c>
      <c r="B254" s="1">
        <v>45545</v>
      </c>
      <c r="C254" t="s">
        <v>1182</v>
      </c>
      <c r="D254" t="s">
        <v>71</v>
      </c>
      <c r="E254" t="s">
        <v>1254</v>
      </c>
      <c r="F254" t="s">
        <v>1307</v>
      </c>
      <c r="G254" t="s">
        <v>60</v>
      </c>
      <c r="H254" t="s">
        <v>53</v>
      </c>
      <c r="I254">
        <v>2</v>
      </c>
      <c r="J254" s="24">
        <v>21.3</v>
      </c>
      <c r="K254" s="24">
        <f t="shared" si="6"/>
        <v>42.6</v>
      </c>
      <c r="L254" s="24">
        <v>63.02</v>
      </c>
      <c r="M254" s="2">
        <f t="shared" si="7"/>
        <v>20.420000000000002</v>
      </c>
      <c r="N254" t="str">
        <v>Low</v>
      </c>
      <c r="O254" t="s">
        <v>65</v>
      </c>
    </row>
    <row r="255" spans="1:15" x14ac:dyDescent="0.3">
      <c r="A255" t="s">
        <v>293</v>
      </c>
      <c r="B255" s="1">
        <v>45546</v>
      </c>
      <c r="C255" t="s">
        <v>1117</v>
      </c>
      <c r="D255" t="s">
        <v>71</v>
      </c>
      <c r="E255" t="s">
        <v>1241</v>
      </c>
      <c r="F255" t="s">
        <v>1312</v>
      </c>
      <c r="G255" t="s">
        <v>60</v>
      </c>
      <c r="H255" t="s">
        <v>51</v>
      </c>
      <c r="I255">
        <v>5</v>
      </c>
      <c r="J255" s="24">
        <v>352.56</v>
      </c>
      <c r="K255" s="24">
        <f t="shared" si="6"/>
        <v>1762.8</v>
      </c>
      <c r="L255" s="24">
        <v>2508.34</v>
      </c>
      <c r="M255" s="2">
        <f t="shared" si="7"/>
        <v>745.54000000000019</v>
      </c>
      <c r="N255" t="str">
        <v>High</v>
      </c>
      <c r="O255" t="s">
        <v>64</v>
      </c>
    </row>
    <row r="256" spans="1:15" x14ac:dyDescent="0.3">
      <c r="A256" t="s">
        <v>294</v>
      </c>
      <c r="B256" s="1">
        <v>45547</v>
      </c>
      <c r="C256" t="s">
        <v>1183</v>
      </c>
      <c r="D256" t="s">
        <v>73</v>
      </c>
      <c r="E256" t="s">
        <v>1243</v>
      </c>
      <c r="F256" t="s">
        <v>1306</v>
      </c>
      <c r="G256" t="s">
        <v>60</v>
      </c>
      <c r="H256" t="s">
        <v>52</v>
      </c>
      <c r="I256">
        <v>5</v>
      </c>
      <c r="J256" s="24">
        <v>174.66</v>
      </c>
      <c r="K256" s="24">
        <f t="shared" si="6"/>
        <v>873.3</v>
      </c>
      <c r="L256" s="24">
        <v>1135.1099999999999</v>
      </c>
      <c r="M256" s="2">
        <f t="shared" si="7"/>
        <v>261.80999999999995</v>
      </c>
      <c r="N256" t="str">
        <v>Low</v>
      </c>
      <c r="O256" t="s">
        <v>64</v>
      </c>
    </row>
    <row r="257" spans="1:15" x14ac:dyDescent="0.3">
      <c r="A257" t="s">
        <v>295</v>
      </c>
      <c r="B257" s="1">
        <v>45548</v>
      </c>
      <c r="C257" t="s">
        <v>1156</v>
      </c>
      <c r="D257" t="s">
        <v>72</v>
      </c>
      <c r="E257" t="s">
        <v>1242</v>
      </c>
      <c r="F257" t="s">
        <v>1288</v>
      </c>
      <c r="G257" t="s">
        <v>60</v>
      </c>
      <c r="H257" t="s">
        <v>54</v>
      </c>
      <c r="I257">
        <v>9</v>
      </c>
      <c r="J257" s="24">
        <v>277.81</v>
      </c>
      <c r="K257" s="24">
        <f t="shared" si="6"/>
        <v>2500.29</v>
      </c>
      <c r="L257" s="24">
        <v>3228.07</v>
      </c>
      <c r="M257" s="2">
        <f t="shared" si="7"/>
        <v>727.7800000000002</v>
      </c>
      <c r="N257" t="str">
        <v>High</v>
      </c>
      <c r="O257" t="s">
        <v>65</v>
      </c>
    </row>
    <row r="258" spans="1:15" x14ac:dyDescent="0.3">
      <c r="A258" t="s">
        <v>296</v>
      </c>
      <c r="B258" s="1">
        <v>45549</v>
      </c>
      <c r="C258" t="s">
        <v>1124</v>
      </c>
      <c r="D258" t="s">
        <v>71</v>
      </c>
      <c r="E258" t="s">
        <v>1248</v>
      </c>
      <c r="F258" t="s">
        <v>1269</v>
      </c>
      <c r="G258" t="s">
        <v>60</v>
      </c>
      <c r="H258" t="s">
        <v>52</v>
      </c>
      <c r="I258">
        <v>9</v>
      </c>
      <c r="J258" s="24">
        <v>390.28</v>
      </c>
      <c r="K258" s="24">
        <f t="shared" si="6"/>
        <v>3512.5199999999995</v>
      </c>
      <c r="L258" s="24">
        <v>4132.75</v>
      </c>
      <c r="M258" s="2">
        <f t="shared" si="7"/>
        <v>620.23000000000047</v>
      </c>
      <c r="N258" t="str">
        <v>High</v>
      </c>
      <c r="O258" t="s">
        <v>64</v>
      </c>
    </row>
    <row r="259" spans="1:15" x14ac:dyDescent="0.3">
      <c r="A259" t="s">
        <v>297</v>
      </c>
      <c r="B259" s="1">
        <v>45550</v>
      </c>
      <c r="C259" t="s">
        <v>1100</v>
      </c>
      <c r="D259" t="s">
        <v>73</v>
      </c>
      <c r="E259" t="s">
        <v>1243</v>
      </c>
      <c r="F259" t="s">
        <v>1290</v>
      </c>
      <c r="G259" t="s">
        <v>60</v>
      </c>
      <c r="H259" t="s">
        <v>54</v>
      </c>
      <c r="I259">
        <v>2</v>
      </c>
      <c r="J259" s="24">
        <v>53.68</v>
      </c>
      <c r="K259" s="24">
        <f t="shared" ref="K259:K322" si="8">J259*I259</f>
        <v>107.36</v>
      </c>
      <c r="L259" s="24">
        <v>119.51</v>
      </c>
      <c r="M259" s="2">
        <f t="shared" ref="M259:M322" si="9">L259-K259</f>
        <v>12.150000000000006</v>
      </c>
      <c r="N259" t="str">
        <v>Low</v>
      </c>
      <c r="O259" t="s">
        <v>63</v>
      </c>
    </row>
    <row r="260" spans="1:15" x14ac:dyDescent="0.3">
      <c r="A260" t="s">
        <v>298</v>
      </c>
      <c r="B260" s="1">
        <v>45551</v>
      </c>
      <c r="C260" t="s">
        <v>1056</v>
      </c>
      <c r="D260" t="s">
        <v>74</v>
      </c>
      <c r="E260" t="s">
        <v>1249</v>
      </c>
      <c r="F260" t="s">
        <v>1270</v>
      </c>
      <c r="G260" t="s">
        <v>60</v>
      </c>
      <c r="H260" t="s">
        <v>52</v>
      </c>
      <c r="I260">
        <v>4</v>
      </c>
      <c r="J260" s="24">
        <v>114.46</v>
      </c>
      <c r="K260" s="24">
        <f t="shared" si="8"/>
        <v>457.84</v>
      </c>
      <c r="L260" s="24">
        <v>622</v>
      </c>
      <c r="M260" s="2">
        <f t="shared" si="9"/>
        <v>164.16000000000003</v>
      </c>
      <c r="N260" t="str">
        <v>Low</v>
      </c>
      <c r="O260" t="s">
        <v>65</v>
      </c>
    </row>
    <row r="261" spans="1:15" x14ac:dyDescent="0.3">
      <c r="A261" t="s">
        <v>299</v>
      </c>
      <c r="B261" s="1">
        <v>45552</v>
      </c>
      <c r="C261" t="s">
        <v>1184</v>
      </c>
      <c r="D261" t="s">
        <v>72</v>
      </c>
      <c r="E261" t="s">
        <v>1253</v>
      </c>
      <c r="F261" t="s">
        <v>1318</v>
      </c>
      <c r="G261" t="s">
        <v>60</v>
      </c>
      <c r="H261" t="s">
        <v>51</v>
      </c>
      <c r="I261">
        <v>5</v>
      </c>
      <c r="J261" s="24">
        <v>164.61</v>
      </c>
      <c r="K261" s="24">
        <f t="shared" si="8"/>
        <v>823.05000000000007</v>
      </c>
      <c r="L261" s="24">
        <v>1175.47</v>
      </c>
      <c r="M261" s="2">
        <f t="shared" si="9"/>
        <v>352.41999999999996</v>
      </c>
      <c r="N261" t="str">
        <v>Low</v>
      </c>
      <c r="O261" t="s">
        <v>64</v>
      </c>
    </row>
    <row r="262" spans="1:15" x14ac:dyDescent="0.3">
      <c r="A262" t="s">
        <v>300</v>
      </c>
      <c r="B262" s="1">
        <v>45553</v>
      </c>
      <c r="C262" t="s">
        <v>1175</v>
      </c>
      <c r="D262" t="s">
        <v>72</v>
      </c>
      <c r="E262" t="s">
        <v>1245</v>
      </c>
      <c r="F262" t="s">
        <v>1277</v>
      </c>
      <c r="G262" t="s">
        <v>60</v>
      </c>
      <c r="H262" t="s">
        <v>52</v>
      </c>
      <c r="I262">
        <v>6</v>
      </c>
      <c r="J262" s="24">
        <v>150.31</v>
      </c>
      <c r="K262" s="24">
        <f t="shared" si="8"/>
        <v>901.86</v>
      </c>
      <c r="L262" s="24">
        <v>1057.3599999999999</v>
      </c>
      <c r="M262" s="2">
        <f t="shared" si="9"/>
        <v>155.49999999999989</v>
      </c>
      <c r="N262" t="str">
        <v>Low</v>
      </c>
      <c r="O262" t="s">
        <v>63</v>
      </c>
    </row>
    <row r="263" spans="1:15" x14ac:dyDescent="0.3">
      <c r="A263" t="s">
        <v>301</v>
      </c>
      <c r="B263" s="1">
        <v>45554</v>
      </c>
      <c r="C263" t="s">
        <v>1086</v>
      </c>
      <c r="D263" t="s">
        <v>1255</v>
      </c>
      <c r="E263" t="s">
        <v>59</v>
      </c>
      <c r="F263" t="s">
        <v>1310</v>
      </c>
      <c r="G263" t="s">
        <v>60</v>
      </c>
      <c r="H263" t="s">
        <v>51</v>
      </c>
      <c r="I263">
        <v>7</v>
      </c>
      <c r="J263" s="24">
        <v>431.37</v>
      </c>
      <c r="K263" s="24">
        <f t="shared" si="8"/>
        <v>3019.59</v>
      </c>
      <c r="L263" s="24">
        <v>3391.51</v>
      </c>
      <c r="M263" s="2">
        <f t="shared" si="9"/>
        <v>371.92000000000007</v>
      </c>
      <c r="N263" t="str">
        <v>High</v>
      </c>
      <c r="O263" t="s">
        <v>65</v>
      </c>
    </row>
    <row r="264" spans="1:15" x14ac:dyDescent="0.3">
      <c r="A264" t="s">
        <v>302</v>
      </c>
      <c r="B264" s="1">
        <v>45555</v>
      </c>
      <c r="C264" t="s">
        <v>1107</v>
      </c>
      <c r="D264" t="s">
        <v>71</v>
      </c>
      <c r="E264" t="s">
        <v>1248</v>
      </c>
      <c r="F264" t="s">
        <v>1329</v>
      </c>
      <c r="G264" t="s">
        <v>60</v>
      </c>
      <c r="H264" t="s">
        <v>54</v>
      </c>
      <c r="I264">
        <v>7</v>
      </c>
      <c r="J264" s="24">
        <v>156.27000000000001</v>
      </c>
      <c r="K264" s="24">
        <f t="shared" si="8"/>
        <v>1093.8900000000001</v>
      </c>
      <c r="L264" s="24">
        <v>1414.39</v>
      </c>
      <c r="M264" s="2">
        <f t="shared" si="9"/>
        <v>320.5</v>
      </c>
      <c r="N264" t="str">
        <v>Low</v>
      </c>
      <c r="O264" t="s">
        <v>65</v>
      </c>
    </row>
    <row r="265" spans="1:15" x14ac:dyDescent="0.3">
      <c r="A265" t="s">
        <v>303</v>
      </c>
      <c r="B265" s="1">
        <v>45556</v>
      </c>
      <c r="C265" t="s">
        <v>1164</v>
      </c>
      <c r="D265" t="s">
        <v>72</v>
      </c>
      <c r="E265" t="s">
        <v>1246</v>
      </c>
      <c r="F265" t="s">
        <v>1286</v>
      </c>
      <c r="G265" t="s">
        <v>60</v>
      </c>
      <c r="H265" t="s">
        <v>53</v>
      </c>
      <c r="I265">
        <v>7</v>
      </c>
      <c r="J265" s="24">
        <v>413.71</v>
      </c>
      <c r="K265" s="24">
        <f t="shared" si="8"/>
        <v>2895.97</v>
      </c>
      <c r="L265" s="24">
        <v>3559.14</v>
      </c>
      <c r="M265" s="2">
        <f t="shared" si="9"/>
        <v>663.17000000000007</v>
      </c>
      <c r="N265" t="str">
        <v>High</v>
      </c>
      <c r="O265" t="s">
        <v>65</v>
      </c>
    </row>
    <row r="266" spans="1:15" x14ac:dyDescent="0.3">
      <c r="A266" t="s">
        <v>304</v>
      </c>
      <c r="B266" s="1">
        <v>45557</v>
      </c>
      <c r="C266" t="s">
        <v>1045</v>
      </c>
      <c r="D266" t="s">
        <v>73</v>
      </c>
      <c r="E266" t="s">
        <v>1252</v>
      </c>
      <c r="F266" t="s">
        <v>1278</v>
      </c>
      <c r="G266" t="s">
        <v>60</v>
      </c>
      <c r="H266" t="s">
        <v>53</v>
      </c>
      <c r="I266">
        <v>1</v>
      </c>
      <c r="J266" s="24">
        <v>62.04</v>
      </c>
      <c r="K266" s="24">
        <f t="shared" si="8"/>
        <v>62.04</v>
      </c>
      <c r="L266" s="24">
        <v>84.2</v>
      </c>
      <c r="M266" s="2">
        <f t="shared" si="9"/>
        <v>22.160000000000004</v>
      </c>
      <c r="N266" t="str">
        <v>Low</v>
      </c>
      <c r="O266" t="s">
        <v>63</v>
      </c>
    </row>
    <row r="267" spans="1:15" x14ac:dyDescent="0.3">
      <c r="A267" t="s">
        <v>305</v>
      </c>
      <c r="B267" s="1">
        <v>45558</v>
      </c>
      <c r="C267" t="s">
        <v>1168</v>
      </c>
      <c r="D267" t="s">
        <v>1255</v>
      </c>
      <c r="E267" t="s">
        <v>59</v>
      </c>
      <c r="F267" t="s">
        <v>1310</v>
      </c>
      <c r="G267" t="s">
        <v>60</v>
      </c>
      <c r="H267" t="s">
        <v>52</v>
      </c>
      <c r="I267">
        <v>5</v>
      </c>
      <c r="J267" s="24">
        <v>192.08</v>
      </c>
      <c r="K267" s="24">
        <f t="shared" si="8"/>
        <v>960.40000000000009</v>
      </c>
      <c r="L267" s="24">
        <v>1210.5899999999999</v>
      </c>
      <c r="M267" s="2">
        <f t="shared" si="9"/>
        <v>250.18999999999983</v>
      </c>
      <c r="N267" t="str">
        <v>Low</v>
      </c>
      <c r="O267" t="s">
        <v>63</v>
      </c>
    </row>
    <row r="268" spans="1:15" x14ac:dyDescent="0.3">
      <c r="A268" t="s">
        <v>306</v>
      </c>
      <c r="B268" s="1">
        <v>45559</v>
      </c>
      <c r="C268" t="s">
        <v>1154</v>
      </c>
      <c r="D268" t="s">
        <v>74</v>
      </c>
      <c r="E268" t="s">
        <v>1244</v>
      </c>
      <c r="F268" t="s">
        <v>1264</v>
      </c>
      <c r="G268" t="s">
        <v>60</v>
      </c>
      <c r="H268" t="s">
        <v>51</v>
      </c>
      <c r="I268">
        <v>7</v>
      </c>
      <c r="J268" s="24">
        <v>202.52</v>
      </c>
      <c r="K268" s="24">
        <f t="shared" si="8"/>
        <v>1417.64</v>
      </c>
      <c r="L268" s="24">
        <v>1993.17</v>
      </c>
      <c r="M268" s="2">
        <f t="shared" si="9"/>
        <v>575.53</v>
      </c>
      <c r="N268" t="str">
        <v>Low</v>
      </c>
      <c r="O268" t="s">
        <v>63</v>
      </c>
    </row>
    <row r="269" spans="1:15" x14ac:dyDescent="0.3">
      <c r="A269" t="s">
        <v>307</v>
      </c>
      <c r="B269" s="1">
        <v>45560</v>
      </c>
      <c r="C269" t="s">
        <v>1171</v>
      </c>
      <c r="D269" t="s">
        <v>72</v>
      </c>
      <c r="E269" t="s">
        <v>1253</v>
      </c>
      <c r="F269" t="s">
        <v>1331</v>
      </c>
      <c r="G269" t="s">
        <v>60</v>
      </c>
      <c r="H269" t="s">
        <v>52</v>
      </c>
      <c r="I269">
        <v>4</v>
      </c>
      <c r="J269" s="24">
        <v>425.03</v>
      </c>
      <c r="K269" s="24">
        <f t="shared" si="8"/>
        <v>1700.12</v>
      </c>
      <c r="L269" s="24">
        <v>2512.2600000000002</v>
      </c>
      <c r="M269" s="2">
        <f t="shared" si="9"/>
        <v>812.14000000000033</v>
      </c>
      <c r="N269" t="str">
        <v>High</v>
      </c>
      <c r="O269" t="s">
        <v>64</v>
      </c>
    </row>
    <row r="270" spans="1:15" x14ac:dyDescent="0.3">
      <c r="A270" t="s">
        <v>308</v>
      </c>
      <c r="B270" s="1">
        <v>45561</v>
      </c>
      <c r="C270" t="s">
        <v>1092</v>
      </c>
      <c r="D270" t="s">
        <v>74</v>
      </c>
      <c r="E270" t="s">
        <v>1244</v>
      </c>
      <c r="F270" t="s">
        <v>1330</v>
      </c>
      <c r="G270" t="s">
        <v>60</v>
      </c>
      <c r="H270" t="s">
        <v>53</v>
      </c>
      <c r="I270">
        <v>8</v>
      </c>
      <c r="J270" s="24">
        <v>229.2</v>
      </c>
      <c r="K270" s="24">
        <f t="shared" si="8"/>
        <v>1833.6</v>
      </c>
      <c r="L270" s="24">
        <v>2304.7600000000002</v>
      </c>
      <c r="M270" s="2">
        <f t="shared" si="9"/>
        <v>471.16000000000031</v>
      </c>
      <c r="N270" t="str">
        <v>High</v>
      </c>
      <c r="O270" t="s">
        <v>64</v>
      </c>
    </row>
    <row r="271" spans="1:15" x14ac:dyDescent="0.3">
      <c r="A271" t="s">
        <v>309</v>
      </c>
      <c r="B271" s="1">
        <v>45562</v>
      </c>
      <c r="C271" t="s">
        <v>1064</v>
      </c>
      <c r="D271" t="s">
        <v>71</v>
      </c>
      <c r="E271" t="s">
        <v>1251</v>
      </c>
      <c r="F271" t="s">
        <v>1315</v>
      </c>
      <c r="G271" t="s">
        <v>60</v>
      </c>
      <c r="H271" t="s">
        <v>52</v>
      </c>
      <c r="I271">
        <v>8</v>
      </c>
      <c r="J271" s="24">
        <v>234.38</v>
      </c>
      <c r="K271" s="24">
        <f t="shared" si="8"/>
        <v>1875.04</v>
      </c>
      <c r="L271" s="24">
        <v>2224.86</v>
      </c>
      <c r="M271" s="2">
        <f t="shared" si="9"/>
        <v>349.82000000000016</v>
      </c>
      <c r="N271" t="str">
        <v>High</v>
      </c>
      <c r="O271" t="s">
        <v>64</v>
      </c>
    </row>
    <row r="272" spans="1:15" x14ac:dyDescent="0.3">
      <c r="A272" t="s">
        <v>310</v>
      </c>
      <c r="B272" s="1">
        <v>45563</v>
      </c>
      <c r="C272" t="s">
        <v>1095</v>
      </c>
      <c r="D272" t="s">
        <v>1255</v>
      </c>
      <c r="E272" t="s">
        <v>59</v>
      </c>
      <c r="F272" t="s">
        <v>1295</v>
      </c>
      <c r="G272" t="s">
        <v>60</v>
      </c>
      <c r="H272" t="s">
        <v>53</v>
      </c>
      <c r="I272">
        <v>4</v>
      </c>
      <c r="J272" s="24">
        <v>164.42</v>
      </c>
      <c r="K272" s="24">
        <f t="shared" si="8"/>
        <v>657.68</v>
      </c>
      <c r="L272" s="24">
        <v>809.42</v>
      </c>
      <c r="M272" s="2">
        <f t="shared" si="9"/>
        <v>151.74</v>
      </c>
      <c r="N272" t="str">
        <v>Low</v>
      </c>
      <c r="O272" t="s">
        <v>63</v>
      </c>
    </row>
    <row r="273" spans="1:15" x14ac:dyDescent="0.3">
      <c r="A273" t="s">
        <v>311</v>
      </c>
      <c r="B273" s="1">
        <v>45564</v>
      </c>
      <c r="C273" t="s">
        <v>1185</v>
      </c>
      <c r="D273" t="s">
        <v>72</v>
      </c>
      <c r="E273" t="s">
        <v>1242</v>
      </c>
      <c r="F273" t="s">
        <v>1332</v>
      </c>
      <c r="G273" t="s">
        <v>60</v>
      </c>
      <c r="H273" t="s">
        <v>54</v>
      </c>
      <c r="I273">
        <v>4</v>
      </c>
      <c r="J273" s="24">
        <v>295.85000000000002</v>
      </c>
      <c r="K273" s="24">
        <f t="shared" si="8"/>
        <v>1183.4000000000001</v>
      </c>
      <c r="L273" s="24">
        <v>1574.78</v>
      </c>
      <c r="M273" s="2">
        <f t="shared" si="9"/>
        <v>391.37999999999988</v>
      </c>
      <c r="N273" t="str">
        <v>Low</v>
      </c>
      <c r="O273" t="s">
        <v>65</v>
      </c>
    </row>
    <row r="274" spans="1:15" x14ac:dyDescent="0.3">
      <c r="A274" t="s">
        <v>312</v>
      </c>
      <c r="B274" s="1">
        <v>45565</v>
      </c>
      <c r="C274" t="s">
        <v>1186</v>
      </c>
      <c r="D274" t="s">
        <v>72</v>
      </c>
      <c r="E274" t="s">
        <v>1242</v>
      </c>
      <c r="F274" t="s">
        <v>1288</v>
      </c>
      <c r="G274" t="s">
        <v>60</v>
      </c>
      <c r="H274" t="s">
        <v>51</v>
      </c>
      <c r="I274">
        <v>10</v>
      </c>
      <c r="J274" s="24">
        <v>492.89</v>
      </c>
      <c r="K274" s="24">
        <f t="shared" si="8"/>
        <v>4928.8999999999996</v>
      </c>
      <c r="L274" s="24">
        <v>5854.32</v>
      </c>
      <c r="M274" s="2">
        <f t="shared" si="9"/>
        <v>925.42000000000007</v>
      </c>
      <c r="N274" t="str">
        <v>High</v>
      </c>
      <c r="O274" t="s">
        <v>63</v>
      </c>
    </row>
    <row r="275" spans="1:15" x14ac:dyDescent="0.3">
      <c r="A275" t="s">
        <v>313</v>
      </c>
      <c r="B275" s="1">
        <v>45566</v>
      </c>
      <c r="C275" t="s">
        <v>1077</v>
      </c>
      <c r="D275" t="s">
        <v>1255</v>
      </c>
      <c r="E275" t="s">
        <v>59</v>
      </c>
      <c r="F275" t="s">
        <v>1310</v>
      </c>
      <c r="G275" t="s">
        <v>60</v>
      </c>
      <c r="H275" t="s">
        <v>53</v>
      </c>
      <c r="I275">
        <v>10</v>
      </c>
      <c r="J275" s="24">
        <v>31.62</v>
      </c>
      <c r="K275" s="24">
        <f t="shared" si="8"/>
        <v>316.2</v>
      </c>
      <c r="L275" s="24">
        <v>389.93</v>
      </c>
      <c r="M275" s="2">
        <f t="shared" si="9"/>
        <v>73.730000000000018</v>
      </c>
      <c r="N275" t="str">
        <v>Low</v>
      </c>
      <c r="O275" t="s">
        <v>64</v>
      </c>
    </row>
    <row r="276" spans="1:15" x14ac:dyDescent="0.3">
      <c r="A276" t="s">
        <v>314</v>
      </c>
      <c r="B276" s="1">
        <v>45567</v>
      </c>
      <c r="C276" t="s">
        <v>1141</v>
      </c>
      <c r="D276" t="s">
        <v>74</v>
      </c>
      <c r="E276" t="s">
        <v>1244</v>
      </c>
      <c r="F276" t="s">
        <v>1314</v>
      </c>
      <c r="G276" t="s">
        <v>60</v>
      </c>
      <c r="H276" t="s">
        <v>53</v>
      </c>
      <c r="I276">
        <v>3</v>
      </c>
      <c r="J276" s="24">
        <v>392.73</v>
      </c>
      <c r="K276" s="24">
        <f t="shared" si="8"/>
        <v>1178.19</v>
      </c>
      <c r="L276" s="24">
        <v>1346.7</v>
      </c>
      <c r="M276" s="2">
        <f t="shared" si="9"/>
        <v>168.51</v>
      </c>
      <c r="N276" t="str">
        <v>Low</v>
      </c>
      <c r="O276" t="s">
        <v>64</v>
      </c>
    </row>
    <row r="277" spans="1:15" x14ac:dyDescent="0.3">
      <c r="A277" t="s">
        <v>315</v>
      </c>
      <c r="B277" s="1">
        <v>45568</v>
      </c>
      <c r="C277" t="s">
        <v>1058</v>
      </c>
      <c r="D277" t="s">
        <v>71</v>
      </c>
      <c r="E277" t="s">
        <v>1248</v>
      </c>
      <c r="F277" t="s">
        <v>1301</v>
      </c>
      <c r="G277" t="s">
        <v>60</v>
      </c>
      <c r="H277" t="s">
        <v>51</v>
      </c>
      <c r="I277">
        <v>10</v>
      </c>
      <c r="J277" s="24">
        <v>361.41</v>
      </c>
      <c r="K277" s="24">
        <f t="shared" si="8"/>
        <v>3614.1000000000004</v>
      </c>
      <c r="L277" s="24">
        <v>4765.32</v>
      </c>
      <c r="M277" s="2">
        <f t="shared" si="9"/>
        <v>1151.2199999999993</v>
      </c>
      <c r="N277" t="str">
        <v>High</v>
      </c>
      <c r="O277" t="s">
        <v>64</v>
      </c>
    </row>
    <row r="278" spans="1:15" x14ac:dyDescent="0.3">
      <c r="A278" t="s">
        <v>316</v>
      </c>
      <c r="B278" s="1">
        <v>45569</v>
      </c>
      <c r="C278" t="s">
        <v>1148</v>
      </c>
      <c r="D278" t="s">
        <v>74</v>
      </c>
      <c r="E278" t="s">
        <v>1247</v>
      </c>
      <c r="F278" t="s">
        <v>1268</v>
      </c>
      <c r="G278" t="s">
        <v>60</v>
      </c>
      <c r="H278" t="s">
        <v>53</v>
      </c>
      <c r="I278">
        <v>1</v>
      </c>
      <c r="J278" s="24">
        <v>321.95</v>
      </c>
      <c r="K278" s="24">
        <f t="shared" si="8"/>
        <v>321.95</v>
      </c>
      <c r="L278" s="24">
        <v>414.53</v>
      </c>
      <c r="M278" s="2">
        <f t="shared" si="9"/>
        <v>92.579999999999984</v>
      </c>
      <c r="N278" t="str">
        <v>Low</v>
      </c>
      <c r="O278" t="s">
        <v>63</v>
      </c>
    </row>
    <row r="279" spans="1:15" x14ac:dyDescent="0.3">
      <c r="A279" t="s">
        <v>317</v>
      </c>
      <c r="B279" s="1">
        <v>45570</v>
      </c>
      <c r="C279" t="s">
        <v>1161</v>
      </c>
      <c r="D279" t="s">
        <v>74</v>
      </c>
      <c r="E279" t="s">
        <v>1249</v>
      </c>
      <c r="F279" t="s">
        <v>1308</v>
      </c>
      <c r="G279" t="s">
        <v>60</v>
      </c>
      <c r="H279" t="s">
        <v>54</v>
      </c>
      <c r="I279">
        <v>7</v>
      </c>
      <c r="J279" s="24">
        <v>211.25</v>
      </c>
      <c r="K279" s="24">
        <f t="shared" si="8"/>
        <v>1478.75</v>
      </c>
      <c r="L279" s="24">
        <v>1740.93</v>
      </c>
      <c r="M279" s="2">
        <f t="shared" si="9"/>
        <v>262.18000000000006</v>
      </c>
      <c r="N279" t="str">
        <v>Low</v>
      </c>
      <c r="O279" t="s">
        <v>65</v>
      </c>
    </row>
    <row r="280" spans="1:15" x14ac:dyDescent="0.3">
      <c r="A280" t="s">
        <v>318</v>
      </c>
      <c r="B280" s="1">
        <v>45571</v>
      </c>
      <c r="C280" t="s">
        <v>1187</v>
      </c>
      <c r="D280" t="s">
        <v>74</v>
      </c>
      <c r="E280" t="s">
        <v>1244</v>
      </c>
      <c r="F280" t="s">
        <v>1314</v>
      </c>
      <c r="G280" t="s">
        <v>60</v>
      </c>
      <c r="H280" t="s">
        <v>53</v>
      </c>
      <c r="I280">
        <v>1</v>
      </c>
      <c r="J280" s="24">
        <v>418.08</v>
      </c>
      <c r="K280" s="24">
        <f t="shared" si="8"/>
        <v>418.08</v>
      </c>
      <c r="L280" s="24">
        <v>487.82</v>
      </c>
      <c r="M280" s="2">
        <f t="shared" si="9"/>
        <v>69.740000000000009</v>
      </c>
      <c r="N280" t="str">
        <v>Low</v>
      </c>
      <c r="O280" t="s">
        <v>65</v>
      </c>
    </row>
    <row r="281" spans="1:15" x14ac:dyDescent="0.3">
      <c r="A281" t="s">
        <v>319</v>
      </c>
      <c r="B281" s="1">
        <v>45572</v>
      </c>
      <c r="C281" t="s">
        <v>1141</v>
      </c>
      <c r="D281" t="s">
        <v>74</v>
      </c>
      <c r="E281" t="s">
        <v>1244</v>
      </c>
      <c r="F281" t="s">
        <v>58</v>
      </c>
      <c r="G281" t="s">
        <v>60</v>
      </c>
      <c r="H281" t="s">
        <v>54</v>
      </c>
      <c r="I281">
        <v>5</v>
      </c>
      <c r="J281" s="24">
        <v>225.65</v>
      </c>
      <c r="K281" s="24">
        <f t="shared" si="8"/>
        <v>1128.25</v>
      </c>
      <c r="L281" s="24">
        <v>1654.83</v>
      </c>
      <c r="M281" s="2">
        <f t="shared" si="9"/>
        <v>526.57999999999993</v>
      </c>
      <c r="N281" t="str">
        <v>Low</v>
      </c>
      <c r="O281" t="s">
        <v>63</v>
      </c>
    </row>
    <row r="282" spans="1:15" x14ac:dyDescent="0.3">
      <c r="A282" t="s">
        <v>320</v>
      </c>
      <c r="B282" s="1">
        <v>45573</v>
      </c>
      <c r="C282" t="s">
        <v>1188</v>
      </c>
      <c r="D282" t="s">
        <v>1255</v>
      </c>
      <c r="E282" t="s">
        <v>59</v>
      </c>
      <c r="F282" t="s">
        <v>1266</v>
      </c>
      <c r="G282" t="s">
        <v>60</v>
      </c>
      <c r="H282" t="s">
        <v>53</v>
      </c>
      <c r="I282">
        <v>5</v>
      </c>
      <c r="J282" s="24">
        <v>473.38</v>
      </c>
      <c r="K282" s="24">
        <f t="shared" si="8"/>
        <v>2366.9</v>
      </c>
      <c r="L282" s="24">
        <v>3040.69</v>
      </c>
      <c r="M282" s="2">
        <f t="shared" si="9"/>
        <v>673.79</v>
      </c>
      <c r="N282" t="str">
        <v>High</v>
      </c>
      <c r="O282" t="s">
        <v>65</v>
      </c>
    </row>
    <row r="283" spans="1:15" x14ac:dyDescent="0.3">
      <c r="A283" t="s">
        <v>321</v>
      </c>
      <c r="B283" s="1">
        <v>45574</v>
      </c>
      <c r="C283" t="s">
        <v>1088</v>
      </c>
      <c r="D283" t="s">
        <v>72</v>
      </c>
      <c r="E283" t="s">
        <v>1246</v>
      </c>
      <c r="F283" t="s">
        <v>1293</v>
      </c>
      <c r="G283" t="s">
        <v>60</v>
      </c>
      <c r="H283" t="s">
        <v>54</v>
      </c>
      <c r="I283">
        <v>8</v>
      </c>
      <c r="J283" s="24">
        <v>465.46</v>
      </c>
      <c r="K283" s="24">
        <f t="shared" si="8"/>
        <v>3723.68</v>
      </c>
      <c r="L283" s="24">
        <v>4583.66</v>
      </c>
      <c r="M283" s="2">
        <f t="shared" si="9"/>
        <v>859.98</v>
      </c>
      <c r="N283" t="str">
        <v>High</v>
      </c>
      <c r="O283" t="s">
        <v>64</v>
      </c>
    </row>
    <row r="284" spans="1:15" x14ac:dyDescent="0.3">
      <c r="A284" t="s">
        <v>322</v>
      </c>
      <c r="B284" s="1">
        <v>45575</v>
      </c>
      <c r="C284" t="s">
        <v>1088</v>
      </c>
      <c r="D284" t="s">
        <v>73</v>
      </c>
      <c r="E284" t="s">
        <v>1252</v>
      </c>
      <c r="F284" t="s">
        <v>1289</v>
      </c>
      <c r="G284" t="s">
        <v>60</v>
      </c>
      <c r="H284" t="s">
        <v>53</v>
      </c>
      <c r="I284">
        <v>4</v>
      </c>
      <c r="J284" s="24">
        <v>486.36</v>
      </c>
      <c r="K284" s="24">
        <f t="shared" si="8"/>
        <v>1945.44</v>
      </c>
      <c r="L284" s="24">
        <v>2630.96</v>
      </c>
      <c r="M284" s="2">
        <f t="shared" si="9"/>
        <v>685.52</v>
      </c>
      <c r="N284" t="str">
        <v>High</v>
      </c>
      <c r="O284" t="s">
        <v>63</v>
      </c>
    </row>
    <row r="285" spans="1:15" x14ac:dyDescent="0.3">
      <c r="A285" t="s">
        <v>323</v>
      </c>
      <c r="B285" s="1">
        <v>45576</v>
      </c>
      <c r="C285" t="s">
        <v>1050</v>
      </c>
      <c r="D285" t="s">
        <v>72</v>
      </c>
      <c r="E285" t="s">
        <v>1253</v>
      </c>
      <c r="F285" t="s">
        <v>1281</v>
      </c>
      <c r="G285" t="s">
        <v>60</v>
      </c>
      <c r="H285" t="s">
        <v>52</v>
      </c>
      <c r="I285">
        <v>3</v>
      </c>
      <c r="J285" s="24">
        <v>85.42</v>
      </c>
      <c r="K285" s="24">
        <f t="shared" si="8"/>
        <v>256.26</v>
      </c>
      <c r="L285" s="24">
        <v>375.43</v>
      </c>
      <c r="M285" s="2">
        <f t="shared" si="9"/>
        <v>119.17000000000002</v>
      </c>
      <c r="N285" t="str">
        <v>Low</v>
      </c>
      <c r="O285" t="s">
        <v>65</v>
      </c>
    </row>
    <row r="286" spans="1:15" x14ac:dyDescent="0.3">
      <c r="A286" t="s">
        <v>324</v>
      </c>
      <c r="B286" s="1">
        <v>45577</v>
      </c>
      <c r="C286" t="s">
        <v>1083</v>
      </c>
      <c r="D286" t="s">
        <v>72</v>
      </c>
      <c r="E286" t="s">
        <v>1245</v>
      </c>
      <c r="F286" t="s">
        <v>1328</v>
      </c>
      <c r="G286" t="s">
        <v>60</v>
      </c>
      <c r="H286" t="s">
        <v>52</v>
      </c>
      <c r="I286">
        <v>2</v>
      </c>
      <c r="J286" s="24">
        <v>422.14</v>
      </c>
      <c r="K286" s="24">
        <f t="shared" si="8"/>
        <v>844.28</v>
      </c>
      <c r="L286" s="24">
        <v>1171.1199999999999</v>
      </c>
      <c r="M286" s="2">
        <f t="shared" si="9"/>
        <v>326.83999999999992</v>
      </c>
      <c r="N286" t="str">
        <v>Low</v>
      </c>
      <c r="O286" t="s">
        <v>65</v>
      </c>
    </row>
    <row r="287" spans="1:15" x14ac:dyDescent="0.3">
      <c r="A287" t="s">
        <v>325</v>
      </c>
      <c r="B287" s="1">
        <v>45578</v>
      </c>
      <c r="C287" t="s">
        <v>1100</v>
      </c>
      <c r="D287" t="s">
        <v>71</v>
      </c>
      <c r="E287" t="s">
        <v>1248</v>
      </c>
      <c r="F287" t="s">
        <v>1269</v>
      </c>
      <c r="G287" t="s">
        <v>60</v>
      </c>
      <c r="H287" t="s">
        <v>54</v>
      </c>
      <c r="I287">
        <v>7</v>
      </c>
      <c r="J287" s="24">
        <v>157.94</v>
      </c>
      <c r="K287" s="24">
        <f t="shared" si="8"/>
        <v>1105.58</v>
      </c>
      <c r="L287" s="24">
        <v>1371.98</v>
      </c>
      <c r="M287" s="2">
        <f t="shared" si="9"/>
        <v>266.40000000000009</v>
      </c>
      <c r="N287" t="str">
        <v>Low</v>
      </c>
      <c r="O287" t="s">
        <v>65</v>
      </c>
    </row>
    <row r="288" spans="1:15" x14ac:dyDescent="0.3">
      <c r="A288" t="s">
        <v>326</v>
      </c>
      <c r="B288" s="1">
        <v>45579</v>
      </c>
      <c r="C288" t="s">
        <v>1041</v>
      </c>
      <c r="D288" t="s">
        <v>72</v>
      </c>
      <c r="E288" t="s">
        <v>1253</v>
      </c>
      <c r="F288" t="s">
        <v>1281</v>
      </c>
      <c r="G288" t="s">
        <v>60</v>
      </c>
      <c r="H288" t="s">
        <v>54</v>
      </c>
      <c r="I288">
        <v>9</v>
      </c>
      <c r="J288" s="24">
        <v>113.19</v>
      </c>
      <c r="K288" s="24">
        <f t="shared" si="8"/>
        <v>1018.71</v>
      </c>
      <c r="L288" s="24">
        <v>1476.87</v>
      </c>
      <c r="M288" s="2">
        <f t="shared" si="9"/>
        <v>458.15999999999985</v>
      </c>
      <c r="N288" t="str">
        <v>Low</v>
      </c>
      <c r="O288" t="s">
        <v>65</v>
      </c>
    </row>
    <row r="289" spans="1:15" x14ac:dyDescent="0.3">
      <c r="A289" t="s">
        <v>327</v>
      </c>
      <c r="B289" s="1">
        <v>45580</v>
      </c>
      <c r="C289" t="s">
        <v>1184</v>
      </c>
      <c r="D289" t="s">
        <v>1255</v>
      </c>
      <c r="E289" t="s">
        <v>59</v>
      </c>
      <c r="F289" t="s">
        <v>1323</v>
      </c>
      <c r="G289" t="s">
        <v>60</v>
      </c>
      <c r="H289" t="s">
        <v>51</v>
      </c>
      <c r="I289">
        <v>10</v>
      </c>
      <c r="J289" s="24">
        <v>59.54</v>
      </c>
      <c r="K289" s="24">
        <f t="shared" si="8"/>
        <v>595.4</v>
      </c>
      <c r="L289" s="24">
        <v>795.96</v>
      </c>
      <c r="M289" s="2">
        <f t="shared" si="9"/>
        <v>200.56000000000006</v>
      </c>
      <c r="N289" t="str">
        <v>Low</v>
      </c>
      <c r="O289" t="s">
        <v>65</v>
      </c>
    </row>
    <row r="290" spans="1:15" x14ac:dyDescent="0.3">
      <c r="A290" t="s">
        <v>328</v>
      </c>
      <c r="B290" s="1">
        <v>45581</v>
      </c>
      <c r="C290" t="s">
        <v>1095</v>
      </c>
      <c r="D290" t="s">
        <v>73</v>
      </c>
      <c r="E290" t="s">
        <v>1243</v>
      </c>
      <c r="F290" t="s">
        <v>1272</v>
      </c>
      <c r="G290" t="s">
        <v>60</v>
      </c>
      <c r="H290" t="s">
        <v>52</v>
      </c>
      <c r="I290">
        <v>6</v>
      </c>
      <c r="J290" s="24">
        <v>404.48</v>
      </c>
      <c r="K290" s="24">
        <f t="shared" si="8"/>
        <v>2426.88</v>
      </c>
      <c r="L290" s="24">
        <v>3550.13</v>
      </c>
      <c r="M290" s="2">
        <f t="shared" si="9"/>
        <v>1123.25</v>
      </c>
      <c r="N290" t="str">
        <v>High</v>
      </c>
      <c r="O290" t="s">
        <v>65</v>
      </c>
    </row>
    <row r="291" spans="1:15" x14ac:dyDescent="0.3">
      <c r="A291" t="s">
        <v>329</v>
      </c>
      <c r="B291" s="1">
        <v>45582</v>
      </c>
      <c r="C291" t="s">
        <v>1061</v>
      </c>
      <c r="D291" t="s">
        <v>74</v>
      </c>
      <c r="E291" t="s">
        <v>1244</v>
      </c>
      <c r="F291" t="s">
        <v>1264</v>
      </c>
      <c r="G291" t="s">
        <v>60</v>
      </c>
      <c r="H291" t="s">
        <v>53</v>
      </c>
      <c r="I291">
        <v>5</v>
      </c>
      <c r="J291" s="24">
        <v>156.61000000000001</v>
      </c>
      <c r="K291" s="24">
        <f t="shared" si="8"/>
        <v>783.05000000000007</v>
      </c>
      <c r="L291" s="24">
        <v>1173.29</v>
      </c>
      <c r="M291" s="2">
        <f t="shared" si="9"/>
        <v>390.2399999999999</v>
      </c>
      <c r="N291" t="str">
        <v>Low</v>
      </c>
      <c r="O291" t="s">
        <v>63</v>
      </c>
    </row>
    <row r="292" spans="1:15" x14ac:dyDescent="0.3">
      <c r="A292" t="s">
        <v>330</v>
      </c>
      <c r="B292" s="1">
        <v>45583</v>
      </c>
      <c r="C292" t="s">
        <v>1066</v>
      </c>
      <c r="D292" t="s">
        <v>73</v>
      </c>
      <c r="E292" t="s">
        <v>1252</v>
      </c>
      <c r="F292" t="s">
        <v>1289</v>
      </c>
      <c r="G292" t="s">
        <v>60</v>
      </c>
      <c r="H292" t="s">
        <v>51</v>
      </c>
      <c r="I292">
        <v>2</v>
      </c>
      <c r="J292" s="24">
        <v>411.71</v>
      </c>
      <c r="K292" s="24">
        <f t="shared" si="8"/>
        <v>823.42</v>
      </c>
      <c r="L292" s="24">
        <v>1195.4100000000001</v>
      </c>
      <c r="M292" s="2">
        <f t="shared" si="9"/>
        <v>371.99000000000012</v>
      </c>
      <c r="N292" t="str">
        <v>Low</v>
      </c>
      <c r="O292" t="s">
        <v>65</v>
      </c>
    </row>
    <row r="293" spans="1:15" x14ac:dyDescent="0.3">
      <c r="A293" t="s">
        <v>331</v>
      </c>
      <c r="B293" s="1">
        <v>45584</v>
      </c>
      <c r="C293" t="s">
        <v>1128</v>
      </c>
      <c r="D293" t="s">
        <v>72</v>
      </c>
      <c r="E293" t="s">
        <v>1242</v>
      </c>
      <c r="F293" t="s">
        <v>1280</v>
      </c>
      <c r="G293" t="s">
        <v>60</v>
      </c>
      <c r="H293" t="s">
        <v>54</v>
      </c>
      <c r="I293">
        <v>9</v>
      </c>
      <c r="J293" s="24">
        <v>276.54000000000002</v>
      </c>
      <c r="K293" s="24">
        <f t="shared" si="8"/>
        <v>2488.86</v>
      </c>
      <c r="L293" s="24">
        <v>3594.08</v>
      </c>
      <c r="M293" s="2">
        <f t="shared" si="9"/>
        <v>1105.2199999999998</v>
      </c>
      <c r="N293" t="str">
        <v>High</v>
      </c>
      <c r="O293" t="s">
        <v>64</v>
      </c>
    </row>
    <row r="294" spans="1:15" x14ac:dyDescent="0.3">
      <c r="A294" t="s">
        <v>332</v>
      </c>
      <c r="B294" s="1">
        <v>45585</v>
      </c>
      <c r="C294" t="s">
        <v>1106</v>
      </c>
      <c r="D294" t="s">
        <v>73</v>
      </c>
      <c r="E294" t="s">
        <v>1252</v>
      </c>
      <c r="F294" t="s">
        <v>1297</v>
      </c>
      <c r="G294" t="s">
        <v>60</v>
      </c>
      <c r="H294" t="s">
        <v>51</v>
      </c>
      <c r="I294">
        <v>4</v>
      </c>
      <c r="J294" s="24">
        <v>367.16</v>
      </c>
      <c r="K294" s="24">
        <f t="shared" si="8"/>
        <v>1468.64</v>
      </c>
      <c r="L294" s="24">
        <v>1654.21</v>
      </c>
      <c r="M294" s="2">
        <f t="shared" si="9"/>
        <v>185.56999999999994</v>
      </c>
      <c r="N294" t="str">
        <v>Low</v>
      </c>
      <c r="O294" t="s">
        <v>63</v>
      </c>
    </row>
    <row r="295" spans="1:15" x14ac:dyDescent="0.3">
      <c r="A295" t="s">
        <v>333</v>
      </c>
      <c r="B295" s="1">
        <v>45586</v>
      </c>
      <c r="C295" t="s">
        <v>1189</v>
      </c>
      <c r="D295" t="s">
        <v>72</v>
      </c>
      <c r="E295" t="s">
        <v>1242</v>
      </c>
      <c r="F295" t="s">
        <v>1259</v>
      </c>
      <c r="G295" t="s">
        <v>60</v>
      </c>
      <c r="H295" t="s">
        <v>53</v>
      </c>
      <c r="I295">
        <v>6</v>
      </c>
      <c r="J295" s="24">
        <v>290.63</v>
      </c>
      <c r="K295" s="24">
        <f t="shared" si="8"/>
        <v>1743.78</v>
      </c>
      <c r="L295" s="24">
        <v>2202.38</v>
      </c>
      <c r="M295" s="2">
        <f t="shared" si="9"/>
        <v>458.60000000000014</v>
      </c>
      <c r="N295" t="str">
        <v>High</v>
      </c>
      <c r="O295" t="s">
        <v>65</v>
      </c>
    </row>
    <row r="296" spans="1:15" x14ac:dyDescent="0.3">
      <c r="A296" t="s">
        <v>334</v>
      </c>
      <c r="B296" s="1">
        <v>45587</v>
      </c>
      <c r="C296" t="s">
        <v>1190</v>
      </c>
      <c r="D296" t="s">
        <v>74</v>
      </c>
      <c r="E296" t="s">
        <v>1244</v>
      </c>
      <c r="F296" t="s">
        <v>1264</v>
      </c>
      <c r="G296" t="s">
        <v>60</v>
      </c>
      <c r="H296" t="s">
        <v>54</v>
      </c>
      <c r="I296">
        <v>8</v>
      </c>
      <c r="J296" s="24">
        <v>57.33</v>
      </c>
      <c r="K296" s="24">
        <f t="shared" si="8"/>
        <v>458.64</v>
      </c>
      <c r="L296" s="24">
        <v>673.66</v>
      </c>
      <c r="M296" s="2">
        <f t="shared" si="9"/>
        <v>215.01999999999998</v>
      </c>
      <c r="N296" t="str">
        <v>Low</v>
      </c>
      <c r="O296" t="s">
        <v>64</v>
      </c>
    </row>
    <row r="297" spans="1:15" x14ac:dyDescent="0.3">
      <c r="A297" t="s">
        <v>335</v>
      </c>
      <c r="B297" s="1">
        <v>45588</v>
      </c>
      <c r="C297" t="s">
        <v>1115</v>
      </c>
      <c r="D297" t="s">
        <v>74</v>
      </c>
      <c r="E297" t="s">
        <v>1249</v>
      </c>
      <c r="F297" t="s">
        <v>1270</v>
      </c>
      <c r="G297" t="s">
        <v>60</v>
      </c>
      <c r="H297" t="s">
        <v>54</v>
      </c>
      <c r="I297">
        <v>7</v>
      </c>
      <c r="J297" s="24">
        <v>46.32</v>
      </c>
      <c r="K297" s="24">
        <f t="shared" si="8"/>
        <v>324.24</v>
      </c>
      <c r="L297" s="24">
        <v>413.52</v>
      </c>
      <c r="M297" s="2">
        <f t="shared" si="9"/>
        <v>89.279999999999973</v>
      </c>
      <c r="N297" t="str">
        <v>Low</v>
      </c>
      <c r="O297" t="s">
        <v>63</v>
      </c>
    </row>
    <row r="298" spans="1:15" x14ac:dyDescent="0.3">
      <c r="A298" t="s">
        <v>336</v>
      </c>
      <c r="B298" s="1">
        <v>45589</v>
      </c>
      <c r="C298" t="s">
        <v>1075</v>
      </c>
      <c r="D298" t="s">
        <v>74</v>
      </c>
      <c r="E298" t="s">
        <v>1249</v>
      </c>
      <c r="F298" t="s">
        <v>1324</v>
      </c>
      <c r="G298" t="s">
        <v>60</v>
      </c>
      <c r="H298" t="s">
        <v>52</v>
      </c>
      <c r="I298">
        <v>1</v>
      </c>
      <c r="J298" s="24">
        <v>195.35</v>
      </c>
      <c r="K298" s="24">
        <f t="shared" si="8"/>
        <v>195.35</v>
      </c>
      <c r="L298" s="24">
        <v>285.76</v>
      </c>
      <c r="M298" s="2">
        <f t="shared" si="9"/>
        <v>90.41</v>
      </c>
      <c r="N298" t="str">
        <v>Low</v>
      </c>
      <c r="O298" t="s">
        <v>63</v>
      </c>
    </row>
    <row r="299" spans="1:15" x14ac:dyDescent="0.3">
      <c r="A299" t="s">
        <v>337</v>
      </c>
      <c r="B299" s="1">
        <v>45590</v>
      </c>
      <c r="C299" t="s">
        <v>1043</v>
      </c>
      <c r="D299" t="s">
        <v>71</v>
      </c>
      <c r="E299" t="s">
        <v>1240</v>
      </c>
      <c r="F299" t="s">
        <v>1260</v>
      </c>
      <c r="G299" t="s">
        <v>60</v>
      </c>
      <c r="H299" t="s">
        <v>53</v>
      </c>
      <c r="I299">
        <v>8</v>
      </c>
      <c r="J299" s="24">
        <v>300.97000000000003</v>
      </c>
      <c r="K299" s="24">
        <f t="shared" si="8"/>
        <v>2407.7600000000002</v>
      </c>
      <c r="L299" s="24">
        <v>3178.96</v>
      </c>
      <c r="M299" s="2">
        <f t="shared" si="9"/>
        <v>771.19999999999982</v>
      </c>
      <c r="N299" t="str">
        <v>High</v>
      </c>
      <c r="O299" t="s">
        <v>64</v>
      </c>
    </row>
    <row r="300" spans="1:15" x14ac:dyDescent="0.3">
      <c r="A300" t="s">
        <v>338</v>
      </c>
      <c r="B300" s="1">
        <v>45591</v>
      </c>
      <c r="C300" t="s">
        <v>1123</v>
      </c>
      <c r="D300" t="s">
        <v>72</v>
      </c>
      <c r="E300" t="s">
        <v>1245</v>
      </c>
      <c r="F300" t="s">
        <v>1328</v>
      </c>
      <c r="G300" t="s">
        <v>60</v>
      </c>
      <c r="H300" t="s">
        <v>53</v>
      </c>
      <c r="I300">
        <v>3</v>
      </c>
      <c r="J300" s="24">
        <v>204.97</v>
      </c>
      <c r="K300" s="24">
        <f t="shared" si="8"/>
        <v>614.91</v>
      </c>
      <c r="L300" s="24">
        <v>873.32</v>
      </c>
      <c r="M300" s="2">
        <f t="shared" si="9"/>
        <v>258.41000000000008</v>
      </c>
      <c r="N300" t="str">
        <v>Low</v>
      </c>
      <c r="O300" t="s">
        <v>64</v>
      </c>
    </row>
    <row r="301" spans="1:15" x14ac:dyDescent="0.3">
      <c r="A301" t="s">
        <v>339</v>
      </c>
      <c r="B301" s="1">
        <v>45592</v>
      </c>
      <c r="C301" t="s">
        <v>1143</v>
      </c>
      <c r="D301" t="s">
        <v>71</v>
      </c>
      <c r="E301" t="s">
        <v>1241</v>
      </c>
      <c r="F301" t="s">
        <v>1299</v>
      </c>
      <c r="G301" t="s">
        <v>60</v>
      </c>
      <c r="H301" t="s">
        <v>53</v>
      </c>
      <c r="I301">
        <v>2</v>
      </c>
      <c r="J301" s="24">
        <v>482.83</v>
      </c>
      <c r="K301" s="24">
        <f t="shared" si="8"/>
        <v>965.66</v>
      </c>
      <c r="L301" s="24">
        <v>1375.3</v>
      </c>
      <c r="M301" s="2">
        <f t="shared" si="9"/>
        <v>409.64</v>
      </c>
      <c r="N301" t="str">
        <v>Low</v>
      </c>
      <c r="O301" t="s">
        <v>65</v>
      </c>
    </row>
    <row r="302" spans="1:15" x14ac:dyDescent="0.3">
      <c r="A302" t="s">
        <v>340</v>
      </c>
      <c r="B302" s="1">
        <v>45593</v>
      </c>
      <c r="C302" t="s">
        <v>1070</v>
      </c>
      <c r="D302" t="s">
        <v>74</v>
      </c>
      <c r="E302" t="s">
        <v>1247</v>
      </c>
      <c r="F302" t="s">
        <v>1285</v>
      </c>
      <c r="G302" t="s">
        <v>60</v>
      </c>
      <c r="H302" t="s">
        <v>51</v>
      </c>
      <c r="I302">
        <v>7</v>
      </c>
      <c r="J302" s="24">
        <v>268.61</v>
      </c>
      <c r="K302" s="24">
        <f t="shared" si="8"/>
        <v>1880.27</v>
      </c>
      <c r="L302" s="24">
        <v>2281.7199999999998</v>
      </c>
      <c r="M302" s="2">
        <f t="shared" si="9"/>
        <v>401.44999999999982</v>
      </c>
      <c r="N302" t="str">
        <v>High</v>
      </c>
      <c r="O302" t="s">
        <v>63</v>
      </c>
    </row>
    <row r="303" spans="1:15" x14ac:dyDescent="0.3">
      <c r="A303" t="s">
        <v>341</v>
      </c>
      <c r="B303" s="1">
        <v>45594</v>
      </c>
      <c r="C303" t="s">
        <v>1151</v>
      </c>
      <c r="D303" t="s">
        <v>71</v>
      </c>
      <c r="E303" t="s">
        <v>1240</v>
      </c>
      <c r="F303" t="s">
        <v>1333</v>
      </c>
      <c r="G303" t="s">
        <v>60</v>
      </c>
      <c r="H303" t="s">
        <v>54</v>
      </c>
      <c r="I303">
        <v>1</v>
      </c>
      <c r="J303" s="24">
        <v>281.20999999999998</v>
      </c>
      <c r="K303" s="24">
        <f t="shared" si="8"/>
        <v>281.20999999999998</v>
      </c>
      <c r="L303" s="24">
        <v>338.07</v>
      </c>
      <c r="M303" s="2">
        <f t="shared" si="9"/>
        <v>56.860000000000014</v>
      </c>
      <c r="N303" t="str">
        <v>Low</v>
      </c>
      <c r="O303" t="s">
        <v>65</v>
      </c>
    </row>
    <row r="304" spans="1:15" x14ac:dyDescent="0.3">
      <c r="A304" t="s">
        <v>342</v>
      </c>
      <c r="B304" s="1">
        <v>45595</v>
      </c>
      <c r="C304" t="s">
        <v>1156</v>
      </c>
      <c r="D304" t="s">
        <v>71</v>
      </c>
      <c r="E304" t="s">
        <v>1251</v>
      </c>
      <c r="F304" t="s">
        <v>1279</v>
      </c>
      <c r="G304" t="s">
        <v>60</v>
      </c>
      <c r="H304" t="s">
        <v>52</v>
      </c>
      <c r="I304">
        <v>3</v>
      </c>
      <c r="J304" s="24">
        <v>79.989999999999995</v>
      </c>
      <c r="K304" s="24">
        <f t="shared" si="8"/>
        <v>239.96999999999997</v>
      </c>
      <c r="L304" s="24">
        <v>304.11</v>
      </c>
      <c r="M304" s="2">
        <f t="shared" si="9"/>
        <v>64.140000000000043</v>
      </c>
      <c r="N304" t="str">
        <v>Low</v>
      </c>
      <c r="O304" t="s">
        <v>64</v>
      </c>
    </row>
    <row r="305" spans="1:15" x14ac:dyDescent="0.3">
      <c r="A305" t="s">
        <v>343</v>
      </c>
      <c r="B305" s="1">
        <v>45596</v>
      </c>
      <c r="C305" t="s">
        <v>1128</v>
      </c>
      <c r="D305" t="s">
        <v>74</v>
      </c>
      <c r="E305" t="s">
        <v>1244</v>
      </c>
      <c r="F305" t="s">
        <v>1330</v>
      </c>
      <c r="G305" t="s">
        <v>60</v>
      </c>
      <c r="H305" t="s">
        <v>52</v>
      </c>
      <c r="I305">
        <v>8</v>
      </c>
      <c r="J305" s="24">
        <v>387.08</v>
      </c>
      <c r="K305" s="24">
        <f t="shared" si="8"/>
        <v>3096.64</v>
      </c>
      <c r="L305" s="24">
        <v>3487.63</v>
      </c>
      <c r="M305" s="2">
        <f t="shared" si="9"/>
        <v>390.99000000000024</v>
      </c>
      <c r="N305" t="str">
        <v>High</v>
      </c>
      <c r="O305" t="s">
        <v>65</v>
      </c>
    </row>
    <row r="306" spans="1:15" x14ac:dyDescent="0.3">
      <c r="A306" t="s">
        <v>344</v>
      </c>
      <c r="B306" s="1">
        <v>45597</v>
      </c>
      <c r="C306" t="s">
        <v>1191</v>
      </c>
      <c r="D306" t="s">
        <v>72</v>
      </c>
      <c r="E306" t="s">
        <v>1253</v>
      </c>
      <c r="F306" t="s">
        <v>1331</v>
      </c>
      <c r="G306" t="s">
        <v>60</v>
      </c>
      <c r="H306" t="s">
        <v>53</v>
      </c>
      <c r="I306">
        <v>4</v>
      </c>
      <c r="J306" s="24">
        <v>444.92</v>
      </c>
      <c r="K306" s="24">
        <f t="shared" si="8"/>
        <v>1779.68</v>
      </c>
      <c r="L306" s="24">
        <v>2055.64</v>
      </c>
      <c r="M306" s="2">
        <f t="shared" si="9"/>
        <v>275.95999999999981</v>
      </c>
      <c r="N306" t="str">
        <v>High</v>
      </c>
      <c r="O306" t="s">
        <v>64</v>
      </c>
    </row>
    <row r="307" spans="1:15" x14ac:dyDescent="0.3">
      <c r="A307" t="s">
        <v>345</v>
      </c>
      <c r="B307" s="1">
        <v>45598</v>
      </c>
      <c r="C307" t="s">
        <v>1159</v>
      </c>
      <c r="D307" t="s">
        <v>72</v>
      </c>
      <c r="E307" t="s">
        <v>1245</v>
      </c>
      <c r="F307" t="s">
        <v>1277</v>
      </c>
      <c r="G307" t="s">
        <v>60</v>
      </c>
      <c r="H307" t="s">
        <v>52</v>
      </c>
      <c r="I307">
        <v>4</v>
      </c>
      <c r="J307" s="24">
        <v>274.62</v>
      </c>
      <c r="K307" s="24">
        <f t="shared" si="8"/>
        <v>1098.48</v>
      </c>
      <c r="L307" s="24">
        <v>1339.19</v>
      </c>
      <c r="M307" s="2">
        <f t="shared" si="9"/>
        <v>240.71000000000004</v>
      </c>
      <c r="N307" t="str">
        <v>Low</v>
      </c>
      <c r="O307" t="s">
        <v>65</v>
      </c>
    </row>
    <row r="308" spans="1:15" x14ac:dyDescent="0.3">
      <c r="A308" t="s">
        <v>346</v>
      </c>
      <c r="B308" s="1">
        <v>45599</v>
      </c>
      <c r="C308" t="s">
        <v>1068</v>
      </c>
      <c r="D308" t="s">
        <v>72</v>
      </c>
      <c r="E308" t="s">
        <v>1242</v>
      </c>
      <c r="F308" t="s">
        <v>1280</v>
      </c>
      <c r="G308" t="s">
        <v>60</v>
      </c>
      <c r="H308" t="s">
        <v>54</v>
      </c>
      <c r="I308">
        <v>4</v>
      </c>
      <c r="J308" s="24">
        <v>52.27</v>
      </c>
      <c r="K308" s="24">
        <f t="shared" si="8"/>
        <v>209.08</v>
      </c>
      <c r="L308" s="24">
        <v>261.69</v>
      </c>
      <c r="M308" s="2">
        <f t="shared" si="9"/>
        <v>52.609999999999985</v>
      </c>
      <c r="N308" t="str">
        <v>Low</v>
      </c>
      <c r="O308" t="s">
        <v>65</v>
      </c>
    </row>
    <row r="309" spans="1:15" x14ac:dyDescent="0.3">
      <c r="A309" t="s">
        <v>347</v>
      </c>
      <c r="B309" s="1">
        <v>45600</v>
      </c>
      <c r="C309" t="s">
        <v>1078</v>
      </c>
      <c r="D309" t="s">
        <v>71</v>
      </c>
      <c r="E309" t="s">
        <v>1251</v>
      </c>
      <c r="F309" t="s">
        <v>1276</v>
      </c>
      <c r="G309" t="s">
        <v>60</v>
      </c>
      <c r="H309" t="s">
        <v>53</v>
      </c>
      <c r="I309">
        <v>9</v>
      </c>
      <c r="J309" s="24">
        <v>387.81</v>
      </c>
      <c r="K309" s="24">
        <f t="shared" si="8"/>
        <v>3490.29</v>
      </c>
      <c r="L309" s="24">
        <v>4919.67</v>
      </c>
      <c r="M309" s="2">
        <f t="shared" si="9"/>
        <v>1429.38</v>
      </c>
      <c r="N309" t="str">
        <v>High</v>
      </c>
      <c r="O309" t="s">
        <v>65</v>
      </c>
    </row>
    <row r="310" spans="1:15" x14ac:dyDescent="0.3">
      <c r="A310" t="s">
        <v>348</v>
      </c>
      <c r="B310" s="1">
        <v>45601</v>
      </c>
      <c r="C310" t="s">
        <v>1150</v>
      </c>
      <c r="D310" t="s">
        <v>71</v>
      </c>
      <c r="E310" t="s">
        <v>1240</v>
      </c>
      <c r="F310" t="s">
        <v>1260</v>
      </c>
      <c r="G310" t="s">
        <v>60</v>
      </c>
      <c r="H310" t="s">
        <v>53</v>
      </c>
      <c r="I310">
        <v>1</v>
      </c>
      <c r="J310" s="24">
        <v>57.26</v>
      </c>
      <c r="K310" s="24">
        <f t="shared" si="8"/>
        <v>57.26</v>
      </c>
      <c r="L310" s="24">
        <v>66.03</v>
      </c>
      <c r="M310" s="2">
        <f t="shared" si="9"/>
        <v>8.7700000000000031</v>
      </c>
      <c r="N310" t="str">
        <v>Low</v>
      </c>
      <c r="O310" t="s">
        <v>65</v>
      </c>
    </row>
    <row r="311" spans="1:15" x14ac:dyDescent="0.3">
      <c r="A311" t="s">
        <v>349</v>
      </c>
      <c r="B311" s="1">
        <v>45602</v>
      </c>
      <c r="C311" t="s">
        <v>1103</v>
      </c>
      <c r="D311" t="s">
        <v>73</v>
      </c>
      <c r="E311" t="s">
        <v>1252</v>
      </c>
      <c r="F311" t="s">
        <v>1289</v>
      </c>
      <c r="G311" t="s">
        <v>60</v>
      </c>
      <c r="H311" t="s">
        <v>52</v>
      </c>
      <c r="I311">
        <v>2</v>
      </c>
      <c r="J311" s="24">
        <v>284.24</v>
      </c>
      <c r="K311" s="24">
        <f t="shared" si="8"/>
        <v>568.48</v>
      </c>
      <c r="L311" s="24">
        <v>835.83</v>
      </c>
      <c r="M311" s="2">
        <f t="shared" si="9"/>
        <v>267.35000000000002</v>
      </c>
      <c r="N311" t="str">
        <v>Low</v>
      </c>
      <c r="O311" t="s">
        <v>63</v>
      </c>
    </row>
    <row r="312" spans="1:15" x14ac:dyDescent="0.3">
      <c r="A312" t="s">
        <v>350</v>
      </c>
      <c r="B312" s="1">
        <v>45603</v>
      </c>
      <c r="C312" t="s">
        <v>1192</v>
      </c>
      <c r="D312" t="s">
        <v>1255</v>
      </c>
      <c r="E312" t="s">
        <v>59</v>
      </c>
      <c r="F312" t="s">
        <v>1323</v>
      </c>
      <c r="G312" t="s">
        <v>60</v>
      </c>
      <c r="H312" t="s">
        <v>52</v>
      </c>
      <c r="I312">
        <v>3</v>
      </c>
      <c r="J312" s="24">
        <v>242.89</v>
      </c>
      <c r="K312" s="24">
        <f t="shared" si="8"/>
        <v>728.67</v>
      </c>
      <c r="L312" s="24">
        <v>820.09</v>
      </c>
      <c r="M312" s="2">
        <f t="shared" si="9"/>
        <v>91.420000000000073</v>
      </c>
      <c r="N312" t="str">
        <v>Low</v>
      </c>
      <c r="O312" t="s">
        <v>65</v>
      </c>
    </row>
    <row r="313" spans="1:15" x14ac:dyDescent="0.3">
      <c r="A313" t="s">
        <v>351</v>
      </c>
      <c r="B313" s="1">
        <v>45604</v>
      </c>
      <c r="C313" t="s">
        <v>1068</v>
      </c>
      <c r="D313" t="s">
        <v>73</v>
      </c>
      <c r="E313" t="s">
        <v>1243</v>
      </c>
      <c r="F313" t="s">
        <v>1261</v>
      </c>
      <c r="G313" t="s">
        <v>60</v>
      </c>
      <c r="H313" t="s">
        <v>54</v>
      </c>
      <c r="I313">
        <v>4</v>
      </c>
      <c r="J313" s="24">
        <v>465.25</v>
      </c>
      <c r="K313" s="24">
        <f t="shared" si="8"/>
        <v>1861</v>
      </c>
      <c r="L313" s="24">
        <v>2312.31</v>
      </c>
      <c r="M313" s="2">
        <f t="shared" si="9"/>
        <v>451.30999999999995</v>
      </c>
      <c r="N313" t="str">
        <v>High</v>
      </c>
      <c r="O313" t="s">
        <v>63</v>
      </c>
    </row>
    <row r="314" spans="1:15" x14ac:dyDescent="0.3">
      <c r="A314" t="s">
        <v>352</v>
      </c>
      <c r="B314" s="1">
        <v>45605</v>
      </c>
      <c r="C314" t="s">
        <v>1131</v>
      </c>
      <c r="D314" t="s">
        <v>71</v>
      </c>
      <c r="E314" t="s">
        <v>1248</v>
      </c>
      <c r="F314" t="s">
        <v>1271</v>
      </c>
      <c r="G314" t="s">
        <v>60</v>
      </c>
      <c r="H314" t="s">
        <v>51</v>
      </c>
      <c r="I314">
        <v>1</v>
      </c>
      <c r="J314" s="24">
        <v>462.38</v>
      </c>
      <c r="K314" s="24">
        <f t="shared" si="8"/>
        <v>462.38</v>
      </c>
      <c r="L314" s="24">
        <v>594.73</v>
      </c>
      <c r="M314" s="2">
        <f t="shared" si="9"/>
        <v>132.35000000000002</v>
      </c>
      <c r="N314" t="str">
        <v>Low</v>
      </c>
      <c r="O314" t="s">
        <v>63</v>
      </c>
    </row>
    <row r="315" spans="1:15" x14ac:dyDescent="0.3">
      <c r="A315" t="s">
        <v>353</v>
      </c>
      <c r="B315" s="1">
        <v>45606</v>
      </c>
      <c r="C315" t="s">
        <v>1193</v>
      </c>
      <c r="D315" t="s">
        <v>1255</v>
      </c>
      <c r="E315" t="s">
        <v>59</v>
      </c>
      <c r="F315" t="s">
        <v>1310</v>
      </c>
      <c r="G315" t="s">
        <v>60</v>
      </c>
      <c r="H315" t="s">
        <v>52</v>
      </c>
      <c r="I315">
        <v>8</v>
      </c>
      <c r="J315" s="24">
        <v>254.4</v>
      </c>
      <c r="K315" s="24">
        <f t="shared" si="8"/>
        <v>2035.2</v>
      </c>
      <c r="L315" s="24">
        <v>2960.9</v>
      </c>
      <c r="M315" s="2">
        <f t="shared" si="9"/>
        <v>925.7</v>
      </c>
      <c r="N315" t="str">
        <v>High</v>
      </c>
      <c r="O315" t="s">
        <v>65</v>
      </c>
    </row>
    <row r="316" spans="1:15" x14ac:dyDescent="0.3">
      <c r="A316" t="s">
        <v>354</v>
      </c>
      <c r="B316" s="1">
        <v>45607</v>
      </c>
      <c r="C316" t="s">
        <v>1132</v>
      </c>
      <c r="D316" t="s">
        <v>71</v>
      </c>
      <c r="E316" t="s">
        <v>1240</v>
      </c>
      <c r="F316" t="s">
        <v>1275</v>
      </c>
      <c r="G316" t="s">
        <v>60</v>
      </c>
      <c r="H316" t="s">
        <v>53</v>
      </c>
      <c r="I316">
        <v>4</v>
      </c>
      <c r="J316" s="24">
        <v>349.52</v>
      </c>
      <c r="K316" s="24">
        <f t="shared" si="8"/>
        <v>1398.08</v>
      </c>
      <c r="L316" s="24">
        <v>1862.01</v>
      </c>
      <c r="M316" s="2">
        <f t="shared" si="9"/>
        <v>463.93000000000006</v>
      </c>
      <c r="N316" t="str">
        <v>Low</v>
      </c>
      <c r="O316" t="s">
        <v>64</v>
      </c>
    </row>
    <row r="317" spans="1:15" x14ac:dyDescent="0.3">
      <c r="A317" t="s">
        <v>355</v>
      </c>
      <c r="B317" s="1">
        <v>45608</v>
      </c>
      <c r="C317" t="s">
        <v>1194</v>
      </c>
      <c r="D317" t="s">
        <v>73</v>
      </c>
      <c r="E317" t="s">
        <v>1250</v>
      </c>
      <c r="F317" t="s">
        <v>1309</v>
      </c>
      <c r="G317" t="s">
        <v>60</v>
      </c>
      <c r="H317" t="s">
        <v>53</v>
      </c>
      <c r="I317">
        <v>2</v>
      </c>
      <c r="J317" s="24">
        <v>232.11</v>
      </c>
      <c r="K317" s="24">
        <f t="shared" si="8"/>
        <v>464.22</v>
      </c>
      <c r="L317" s="24">
        <v>563.6</v>
      </c>
      <c r="M317" s="2">
        <f t="shared" si="9"/>
        <v>99.38</v>
      </c>
      <c r="N317" t="str">
        <v>Low</v>
      </c>
      <c r="O317" t="s">
        <v>64</v>
      </c>
    </row>
    <row r="318" spans="1:15" x14ac:dyDescent="0.3">
      <c r="A318" t="s">
        <v>356</v>
      </c>
      <c r="B318" s="1">
        <v>45609</v>
      </c>
      <c r="C318" t="s">
        <v>1062</v>
      </c>
      <c r="D318" t="s">
        <v>74</v>
      </c>
      <c r="E318" t="s">
        <v>1249</v>
      </c>
      <c r="F318" t="s">
        <v>1324</v>
      </c>
      <c r="G318" t="s">
        <v>60</v>
      </c>
      <c r="H318" t="s">
        <v>54</v>
      </c>
      <c r="I318">
        <v>3</v>
      </c>
      <c r="J318" s="24">
        <v>342.03</v>
      </c>
      <c r="K318" s="24">
        <f t="shared" si="8"/>
        <v>1026.0899999999999</v>
      </c>
      <c r="L318" s="24">
        <v>1162.94</v>
      </c>
      <c r="M318" s="2">
        <f t="shared" si="9"/>
        <v>136.85000000000014</v>
      </c>
      <c r="N318" t="str">
        <v>Low</v>
      </c>
      <c r="O318" t="s">
        <v>65</v>
      </c>
    </row>
    <row r="319" spans="1:15" x14ac:dyDescent="0.3">
      <c r="A319" t="s">
        <v>357</v>
      </c>
      <c r="B319" s="1">
        <v>45610</v>
      </c>
      <c r="C319" t="s">
        <v>1121</v>
      </c>
      <c r="D319" t="s">
        <v>74</v>
      </c>
      <c r="E319" t="s">
        <v>1247</v>
      </c>
      <c r="F319" t="s">
        <v>1285</v>
      </c>
      <c r="G319" t="s">
        <v>60</v>
      </c>
      <c r="H319" t="s">
        <v>53</v>
      </c>
      <c r="I319">
        <v>3</v>
      </c>
      <c r="J319" s="24">
        <v>375.67</v>
      </c>
      <c r="K319" s="24">
        <f t="shared" si="8"/>
        <v>1127.01</v>
      </c>
      <c r="L319" s="24">
        <v>1464.8</v>
      </c>
      <c r="M319" s="2">
        <f t="shared" si="9"/>
        <v>337.78999999999996</v>
      </c>
      <c r="N319" t="str">
        <v>Low</v>
      </c>
      <c r="O319" t="s">
        <v>63</v>
      </c>
    </row>
    <row r="320" spans="1:15" x14ac:dyDescent="0.3">
      <c r="A320" t="s">
        <v>358</v>
      </c>
      <c r="B320" s="1">
        <v>45611</v>
      </c>
      <c r="C320" t="s">
        <v>1133</v>
      </c>
      <c r="D320" t="s">
        <v>71</v>
      </c>
      <c r="E320" t="s">
        <v>1241</v>
      </c>
      <c r="F320" t="s">
        <v>1287</v>
      </c>
      <c r="G320" t="s">
        <v>60</v>
      </c>
      <c r="H320" t="s">
        <v>51</v>
      </c>
      <c r="I320">
        <v>2</v>
      </c>
      <c r="J320" s="24">
        <v>181.87</v>
      </c>
      <c r="K320" s="24">
        <f t="shared" si="8"/>
        <v>363.74</v>
      </c>
      <c r="L320" s="24">
        <v>531.44000000000005</v>
      </c>
      <c r="M320" s="2">
        <f t="shared" si="9"/>
        <v>167.70000000000005</v>
      </c>
      <c r="N320" t="str">
        <v>Low</v>
      </c>
      <c r="O320" t="s">
        <v>63</v>
      </c>
    </row>
    <row r="321" spans="1:15" x14ac:dyDescent="0.3">
      <c r="A321" t="s">
        <v>359</v>
      </c>
      <c r="B321" s="1">
        <v>45612</v>
      </c>
      <c r="C321" t="s">
        <v>1195</v>
      </c>
      <c r="D321" t="s">
        <v>71</v>
      </c>
      <c r="E321" t="s">
        <v>1254</v>
      </c>
      <c r="F321" t="s">
        <v>1292</v>
      </c>
      <c r="G321" t="s">
        <v>60</v>
      </c>
      <c r="H321" t="s">
        <v>51</v>
      </c>
      <c r="I321">
        <v>1</v>
      </c>
      <c r="J321" s="24">
        <v>216.94</v>
      </c>
      <c r="K321" s="24">
        <f t="shared" si="8"/>
        <v>216.94</v>
      </c>
      <c r="L321" s="24">
        <v>295.8</v>
      </c>
      <c r="M321" s="2">
        <f t="shared" si="9"/>
        <v>78.860000000000014</v>
      </c>
      <c r="N321" t="str">
        <v>Low</v>
      </c>
      <c r="O321" t="s">
        <v>63</v>
      </c>
    </row>
    <row r="322" spans="1:15" x14ac:dyDescent="0.3">
      <c r="A322" t="s">
        <v>360</v>
      </c>
      <c r="B322" s="1">
        <v>45613</v>
      </c>
      <c r="C322" t="s">
        <v>1116</v>
      </c>
      <c r="D322" t="s">
        <v>1255</v>
      </c>
      <c r="E322" t="s">
        <v>59</v>
      </c>
      <c r="F322" t="s">
        <v>1295</v>
      </c>
      <c r="G322" t="s">
        <v>60</v>
      </c>
      <c r="H322" t="s">
        <v>54</v>
      </c>
      <c r="I322">
        <v>5</v>
      </c>
      <c r="J322" s="24">
        <v>465.9</v>
      </c>
      <c r="K322" s="24">
        <f t="shared" si="8"/>
        <v>2329.5</v>
      </c>
      <c r="L322" s="24">
        <v>3122.87</v>
      </c>
      <c r="M322" s="2">
        <f t="shared" si="9"/>
        <v>793.36999999999989</v>
      </c>
      <c r="N322" t="str">
        <v>High</v>
      </c>
      <c r="O322" t="s">
        <v>65</v>
      </c>
    </row>
    <row r="323" spans="1:15" x14ac:dyDescent="0.3">
      <c r="A323" t="s">
        <v>361</v>
      </c>
      <c r="B323" s="1">
        <v>45614</v>
      </c>
      <c r="C323" t="s">
        <v>1164</v>
      </c>
      <c r="D323" t="s">
        <v>71</v>
      </c>
      <c r="E323" t="s">
        <v>1241</v>
      </c>
      <c r="F323" t="s">
        <v>1299</v>
      </c>
      <c r="G323" t="s">
        <v>60</v>
      </c>
      <c r="H323" t="s">
        <v>53</v>
      </c>
      <c r="I323">
        <v>3</v>
      </c>
      <c r="J323" s="24">
        <v>366.48</v>
      </c>
      <c r="K323" s="24">
        <f t="shared" ref="K323:K386" si="10">J323*I323</f>
        <v>1099.44</v>
      </c>
      <c r="L323" s="24">
        <v>1499.15</v>
      </c>
      <c r="M323" s="2">
        <f t="shared" ref="M323:M386" si="11">L323-K323</f>
        <v>399.71000000000004</v>
      </c>
      <c r="N323" t="str">
        <v>Low</v>
      </c>
      <c r="O323" t="s">
        <v>63</v>
      </c>
    </row>
    <row r="324" spans="1:15" x14ac:dyDescent="0.3">
      <c r="A324" t="s">
        <v>362</v>
      </c>
      <c r="B324" s="1">
        <v>45615</v>
      </c>
      <c r="C324" t="s">
        <v>1087</v>
      </c>
      <c r="D324" t="s">
        <v>72</v>
      </c>
      <c r="E324" t="s">
        <v>1242</v>
      </c>
      <c r="F324" t="s">
        <v>1280</v>
      </c>
      <c r="G324" t="s">
        <v>60</v>
      </c>
      <c r="H324" t="s">
        <v>53</v>
      </c>
      <c r="I324">
        <v>3</v>
      </c>
      <c r="J324" s="24">
        <v>109.09</v>
      </c>
      <c r="K324" s="24">
        <f t="shared" si="10"/>
        <v>327.27</v>
      </c>
      <c r="L324" s="24">
        <v>447.44</v>
      </c>
      <c r="M324" s="2">
        <f t="shared" si="11"/>
        <v>120.17000000000002</v>
      </c>
      <c r="N324" t="str">
        <v>Low</v>
      </c>
      <c r="O324" t="s">
        <v>64</v>
      </c>
    </row>
    <row r="325" spans="1:15" x14ac:dyDescent="0.3">
      <c r="A325" t="s">
        <v>363</v>
      </c>
      <c r="B325" s="1">
        <v>45616</v>
      </c>
      <c r="C325" t="s">
        <v>1196</v>
      </c>
      <c r="D325" t="s">
        <v>71</v>
      </c>
      <c r="E325" t="s">
        <v>1241</v>
      </c>
      <c r="F325" t="s">
        <v>1312</v>
      </c>
      <c r="G325" t="s">
        <v>60</v>
      </c>
      <c r="H325" t="s">
        <v>51</v>
      </c>
      <c r="I325">
        <v>4</v>
      </c>
      <c r="J325" s="24">
        <v>208.45</v>
      </c>
      <c r="K325" s="24">
        <f t="shared" si="10"/>
        <v>833.8</v>
      </c>
      <c r="L325" s="24">
        <v>936.45</v>
      </c>
      <c r="M325" s="2">
        <f t="shared" si="11"/>
        <v>102.65000000000009</v>
      </c>
      <c r="N325" t="str">
        <v>Low</v>
      </c>
      <c r="O325" t="s">
        <v>65</v>
      </c>
    </row>
    <row r="326" spans="1:15" x14ac:dyDescent="0.3">
      <c r="A326" t="s">
        <v>364</v>
      </c>
      <c r="B326" s="1">
        <v>45617</v>
      </c>
      <c r="C326" t="s">
        <v>1155</v>
      </c>
      <c r="D326" t="s">
        <v>72</v>
      </c>
      <c r="E326" t="s">
        <v>1242</v>
      </c>
      <c r="F326" t="s">
        <v>1332</v>
      </c>
      <c r="G326" t="s">
        <v>60</v>
      </c>
      <c r="H326" t="s">
        <v>52</v>
      </c>
      <c r="I326">
        <v>10</v>
      </c>
      <c r="J326" s="24">
        <v>231.4</v>
      </c>
      <c r="K326" s="24">
        <f t="shared" si="10"/>
        <v>2314</v>
      </c>
      <c r="L326" s="24">
        <v>3385.77</v>
      </c>
      <c r="M326" s="2">
        <f t="shared" si="11"/>
        <v>1071.77</v>
      </c>
      <c r="N326" t="str">
        <v>High</v>
      </c>
      <c r="O326" t="s">
        <v>63</v>
      </c>
    </row>
    <row r="327" spans="1:15" x14ac:dyDescent="0.3">
      <c r="A327" t="s">
        <v>365</v>
      </c>
      <c r="B327" s="1">
        <v>45618</v>
      </c>
      <c r="C327" t="s">
        <v>1142</v>
      </c>
      <c r="D327" t="s">
        <v>72</v>
      </c>
      <c r="E327" t="s">
        <v>1253</v>
      </c>
      <c r="F327" t="s">
        <v>1281</v>
      </c>
      <c r="G327" t="s">
        <v>60</v>
      </c>
      <c r="H327" t="s">
        <v>53</v>
      </c>
      <c r="I327">
        <v>4</v>
      </c>
      <c r="J327" s="24">
        <v>135.61000000000001</v>
      </c>
      <c r="K327" s="24">
        <f t="shared" si="10"/>
        <v>542.44000000000005</v>
      </c>
      <c r="L327" s="24">
        <v>678.72</v>
      </c>
      <c r="M327" s="2">
        <f t="shared" si="11"/>
        <v>136.27999999999997</v>
      </c>
      <c r="N327" t="str">
        <v>Low</v>
      </c>
      <c r="O327" t="s">
        <v>64</v>
      </c>
    </row>
    <row r="328" spans="1:15" x14ac:dyDescent="0.3">
      <c r="A328" t="s">
        <v>366</v>
      </c>
      <c r="B328" s="1">
        <v>45619</v>
      </c>
      <c r="C328" t="s">
        <v>1049</v>
      </c>
      <c r="D328" t="s">
        <v>74</v>
      </c>
      <c r="E328" t="s">
        <v>1244</v>
      </c>
      <c r="F328" t="s">
        <v>1314</v>
      </c>
      <c r="G328" t="s">
        <v>60</v>
      </c>
      <c r="H328" t="s">
        <v>52</v>
      </c>
      <c r="I328">
        <v>10</v>
      </c>
      <c r="J328" s="24">
        <v>310.67</v>
      </c>
      <c r="K328" s="24">
        <f t="shared" si="10"/>
        <v>3106.7000000000003</v>
      </c>
      <c r="L328" s="24">
        <v>4030.5</v>
      </c>
      <c r="M328" s="2">
        <f t="shared" si="11"/>
        <v>923.79999999999973</v>
      </c>
      <c r="N328" t="str">
        <v>High</v>
      </c>
      <c r="O328" t="s">
        <v>63</v>
      </c>
    </row>
    <row r="329" spans="1:15" x14ac:dyDescent="0.3">
      <c r="A329" t="s">
        <v>367</v>
      </c>
      <c r="B329" s="1">
        <v>45620</v>
      </c>
      <c r="C329" t="s">
        <v>1046</v>
      </c>
      <c r="D329" t="s">
        <v>71</v>
      </c>
      <c r="E329" t="s">
        <v>1248</v>
      </c>
      <c r="F329" t="s">
        <v>1291</v>
      </c>
      <c r="G329" t="s">
        <v>60</v>
      </c>
      <c r="H329" t="s">
        <v>54</v>
      </c>
      <c r="I329">
        <v>2</v>
      </c>
      <c r="J329" s="24">
        <v>110.28</v>
      </c>
      <c r="K329" s="24">
        <f t="shared" si="10"/>
        <v>220.56</v>
      </c>
      <c r="L329" s="24">
        <v>291.31</v>
      </c>
      <c r="M329" s="2">
        <f t="shared" si="11"/>
        <v>70.75</v>
      </c>
      <c r="N329" t="str">
        <v>Low</v>
      </c>
      <c r="O329" t="s">
        <v>63</v>
      </c>
    </row>
    <row r="330" spans="1:15" x14ac:dyDescent="0.3">
      <c r="A330" t="s">
        <v>368</v>
      </c>
      <c r="B330" s="1">
        <v>45621</v>
      </c>
      <c r="C330" t="s">
        <v>1142</v>
      </c>
      <c r="D330" t="s">
        <v>71</v>
      </c>
      <c r="E330" t="s">
        <v>1254</v>
      </c>
      <c r="F330" t="s">
        <v>1307</v>
      </c>
      <c r="G330" t="s">
        <v>60</v>
      </c>
      <c r="H330" t="s">
        <v>52</v>
      </c>
      <c r="I330">
        <v>1</v>
      </c>
      <c r="J330" s="24">
        <v>195.45</v>
      </c>
      <c r="K330" s="24">
        <f t="shared" si="10"/>
        <v>195.45</v>
      </c>
      <c r="L330" s="24">
        <v>255.5</v>
      </c>
      <c r="M330" s="2">
        <f t="shared" si="11"/>
        <v>60.050000000000011</v>
      </c>
      <c r="N330" t="str">
        <v>Low</v>
      </c>
      <c r="O330" t="s">
        <v>65</v>
      </c>
    </row>
    <row r="331" spans="1:15" x14ac:dyDescent="0.3">
      <c r="A331" t="s">
        <v>369</v>
      </c>
      <c r="B331" s="1">
        <v>45622</v>
      </c>
      <c r="C331" t="s">
        <v>1075</v>
      </c>
      <c r="D331" t="s">
        <v>73</v>
      </c>
      <c r="E331" t="s">
        <v>1250</v>
      </c>
      <c r="F331" t="s">
        <v>1302</v>
      </c>
      <c r="G331" t="s">
        <v>60</v>
      </c>
      <c r="H331" t="s">
        <v>54</v>
      </c>
      <c r="I331">
        <v>8</v>
      </c>
      <c r="J331" s="24">
        <v>270.33</v>
      </c>
      <c r="K331" s="24">
        <f t="shared" si="10"/>
        <v>2162.64</v>
      </c>
      <c r="L331" s="24">
        <v>2788.66</v>
      </c>
      <c r="M331" s="2">
        <f t="shared" si="11"/>
        <v>626.02</v>
      </c>
      <c r="N331" t="str">
        <v>High</v>
      </c>
      <c r="O331" t="s">
        <v>65</v>
      </c>
    </row>
    <row r="332" spans="1:15" x14ac:dyDescent="0.3">
      <c r="A332" t="s">
        <v>370</v>
      </c>
      <c r="B332" s="1">
        <v>45623</v>
      </c>
      <c r="C332" t="s">
        <v>1076</v>
      </c>
      <c r="D332" t="s">
        <v>71</v>
      </c>
      <c r="E332" t="s">
        <v>1248</v>
      </c>
      <c r="F332" t="s">
        <v>1269</v>
      </c>
      <c r="G332" t="s">
        <v>60</v>
      </c>
      <c r="H332" t="s">
        <v>51</v>
      </c>
      <c r="I332">
        <v>4</v>
      </c>
      <c r="J332" s="24">
        <v>267.94</v>
      </c>
      <c r="K332" s="24">
        <f t="shared" si="10"/>
        <v>1071.76</v>
      </c>
      <c r="L332" s="24">
        <v>1516.37</v>
      </c>
      <c r="M332" s="2">
        <f t="shared" si="11"/>
        <v>444.6099999999999</v>
      </c>
      <c r="N332" t="str">
        <v>Low</v>
      </c>
      <c r="O332" t="s">
        <v>64</v>
      </c>
    </row>
    <row r="333" spans="1:15" x14ac:dyDescent="0.3">
      <c r="A333" t="s">
        <v>371</v>
      </c>
      <c r="B333" s="1">
        <v>45624</v>
      </c>
      <c r="C333" t="s">
        <v>1052</v>
      </c>
      <c r="D333" t="s">
        <v>71</v>
      </c>
      <c r="E333" t="s">
        <v>1241</v>
      </c>
      <c r="F333" t="s">
        <v>1287</v>
      </c>
      <c r="G333" t="s">
        <v>60</v>
      </c>
      <c r="H333" t="s">
        <v>54</v>
      </c>
      <c r="I333">
        <v>9</v>
      </c>
      <c r="J333" s="24">
        <v>338.78</v>
      </c>
      <c r="K333" s="24">
        <f t="shared" si="10"/>
        <v>3049.0199999999995</v>
      </c>
      <c r="L333" s="24">
        <v>4229.25</v>
      </c>
      <c r="M333" s="2">
        <f t="shared" si="11"/>
        <v>1180.2300000000005</v>
      </c>
      <c r="N333" t="str">
        <v>High</v>
      </c>
      <c r="O333" t="s">
        <v>64</v>
      </c>
    </row>
    <row r="334" spans="1:15" x14ac:dyDescent="0.3">
      <c r="A334" t="s">
        <v>372</v>
      </c>
      <c r="B334" s="1">
        <v>45625</v>
      </c>
      <c r="C334" t="s">
        <v>1197</v>
      </c>
      <c r="D334" t="s">
        <v>74</v>
      </c>
      <c r="E334" t="s">
        <v>1244</v>
      </c>
      <c r="F334" t="s">
        <v>1264</v>
      </c>
      <c r="G334" t="s">
        <v>60</v>
      </c>
      <c r="H334" t="s">
        <v>52</v>
      </c>
      <c r="I334">
        <v>6</v>
      </c>
      <c r="J334" s="24">
        <v>184.42</v>
      </c>
      <c r="K334" s="24">
        <f t="shared" si="10"/>
        <v>1106.52</v>
      </c>
      <c r="L334" s="24">
        <v>1415.26</v>
      </c>
      <c r="M334" s="2">
        <f t="shared" si="11"/>
        <v>308.74</v>
      </c>
      <c r="N334" t="str">
        <v>Low</v>
      </c>
      <c r="O334" t="s">
        <v>65</v>
      </c>
    </row>
    <row r="335" spans="1:15" x14ac:dyDescent="0.3">
      <c r="A335" t="s">
        <v>373</v>
      </c>
      <c r="B335" s="1">
        <v>45626</v>
      </c>
      <c r="C335" t="s">
        <v>1044</v>
      </c>
      <c r="D335" t="s">
        <v>72</v>
      </c>
      <c r="E335" t="s">
        <v>1245</v>
      </c>
      <c r="F335" t="s">
        <v>1277</v>
      </c>
      <c r="G335" t="s">
        <v>60</v>
      </c>
      <c r="H335" t="s">
        <v>54</v>
      </c>
      <c r="I335">
        <v>7</v>
      </c>
      <c r="J335" s="24">
        <v>22.02</v>
      </c>
      <c r="K335" s="24">
        <f t="shared" si="10"/>
        <v>154.13999999999999</v>
      </c>
      <c r="L335" s="24">
        <v>177.2</v>
      </c>
      <c r="M335" s="2">
        <f t="shared" si="11"/>
        <v>23.060000000000002</v>
      </c>
      <c r="N335" t="str">
        <v>Low</v>
      </c>
      <c r="O335" t="s">
        <v>65</v>
      </c>
    </row>
    <row r="336" spans="1:15" x14ac:dyDescent="0.3">
      <c r="A336" t="s">
        <v>374</v>
      </c>
      <c r="B336" s="1">
        <v>45627</v>
      </c>
      <c r="C336" t="s">
        <v>1198</v>
      </c>
      <c r="D336" t="s">
        <v>72</v>
      </c>
      <c r="E336" t="s">
        <v>1242</v>
      </c>
      <c r="F336" t="s">
        <v>1332</v>
      </c>
      <c r="G336" t="s">
        <v>60</v>
      </c>
      <c r="H336" t="s">
        <v>52</v>
      </c>
      <c r="I336">
        <v>6</v>
      </c>
      <c r="J336" s="24">
        <v>138.15</v>
      </c>
      <c r="K336" s="24">
        <f t="shared" si="10"/>
        <v>828.90000000000009</v>
      </c>
      <c r="L336" s="24">
        <v>1138.94</v>
      </c>
      <c r="M336" s="2">
        <f t="shared" si="11"/>
        <v>310.03999999999996</v>
      </c>
      <c r="N336" t="str">
        <v>Low</v>
      </c>
      <c r="O336" t="s">
        <v>63</v>
      </c>
    </row>
    <row r="337" spans="1:15" x14ac:dyDescent="0.3">
      <c r="A337" t="s">
        <v>375</v>
      </c>
      <c r="B337" s="1">
        <v>45628</v>
      </c>
      <c r="C337" t="s">
        <v>1156</v>
      </c>
      <c r="D337" t="s">
        <v>71</v>
      </c>
      <c r="E337" t="s">
        <v>1254</v>
      </c>
      <c r="F337" t="s">
        <v>1304</v>
      </c>
      <c r="G337" t="s">
        <v>60</v>
      </c>
      <c r="H337" t="s">
        <v>54</v>
      </c>
      <c r="I337">
        <v>6</v>
      </c>
      <c r="J337" s="24">
        <v>33.99</v>
      </c>
      <c r="K337" s="24">
        <f t="shared" si="10"/>
        <v>203.94</v>
      </c>
      <c r="L337" s="24">
        <v>224.93</v>
      </c>
      <c r="M337" s="2">
        <f t="shared" si="11"/>
        <v>20.990000000000009</v>
      </c>
      <c r="N337" t="str">
        <v>Low</v>
      </c>
      <c r="O337" t="s">
        <v>63</v>
      </c>
    </row>
    <row r="338" spans="1:15" x14ac:dyDescent="0.3">
      <c r="A338" t="s">
        <v>376</v>
      </c>
      <c r="B338" s="1">
        <v>45629</v>
      </c>
      <c r="C338" t="s">
        <v>1145</v>
      </c>
      <c r="D338" t="s">
        <v>72</v>
      </c>
      <c r="E338" t="s">
        <v>1242</v>
      </c>
      <c r="F338" t="s">
        <v>1332</v>
      </c>
      <c r="G338" t="s">
        <v>60</v>
      </c>
      <c r="H338" t="s">
        <v>51</v>
      </c>
      <c r="I338">
        <v>6</v>
      </c>
      <c r="J338" s="24">
        <v>177.33</v>
      </c>
      <c r="K338" s="24">
        <f t="shared" si="10"/>
        <v>1063.98</v>
      </c>
      <c r="L338" s="24">
        <v>1222.3399999999999</v>
      </c>
      <c r="M338" s="2">
        <f t="shared" si="11"/>
        <v>158.3599999999999</v>
      </c>
      <c r="N338" t="str">
        <v>Low</v>
      </c>
      <c r="O338" t="s">
        <v>65</v>
      </c>
    </row>
    <row r="339" spans="1:15" x14ac:dyDescent="0.3">
      <c r="A339" t="s">
        <v>377</v>
      </c>
      <c r="B339" s="1">
        <v>45630</v>
      </c>
      <c r="C339" t="s">
        <v>1111</v>
      </c>
      <c r="D339" t="s">
        <v>71</v>
      </c>
      <c r="E339" t="s">
        <v>1254</v>
      </c>
      <c r="F339" t="s">
        <v>1292</v>
      </c>
      <c r="G339" t="s">
        <v>60</v>
      </c>
      <c r="H339" t="s">
        <v>51</v>
      </c>
      <c r="I339">
        <v>7</v>
      </c>
      <c r="J339" s="24">
        <v>255.77</v>
      </c>
      <c r="K339" s="24">
        <f t="shared" si="10"/>
        <v>1790.39</v>
      </c>
      <c r="L339" s="24">
        <v>1984.82</v>
      </c>
      <c r="M339" s="2">
        <f t="shared" si="11"/>
        <v>194.42999999999984</v>
      </c>
      <c r="N339" t="str">
        <v>Low</v>
      </c>
      <c r="O339" t="s">
        <v>65</v>
      </c>
    </row>
    <row r="340" spans="1:15" x14ac:dyDescent="0.3">
      <c r="A340" t="s">
        <v>378</v>
      </c>
      <c r="B340" s="1">
        <v>45631</v>
      </c>
      <c r="C340" t="s">
        <v>1178</v>
      </c>
      <c r="D340" t="s">
        <v>74</v>
      </c>
      <c r="E340" t="s">
        <v>1244</v>
      </c>
      <c r="F340" t="s">
        <v>58</v>
      </c>
      <c r="G340" t="s">
        <v>60</v>
      </c>
      <c r="H340" t="s">
        <v>53</v>
      </c>
      <c r="I340">
        <v>9</v>
      </c>
      <c r="J340" s="24">
        <v>52.34</v>
      </c>
      <c r="K340" s="24">
        <f t="shared" si="10"/>
        <v>471.06000000000006</v>
      </c>
      <c r="L340" s="24">
        <v>698.33</v>
      </c>
      <c r="M340" s="2">
        <f t="shared" si="11"/>
        <v>227.26999999999998</v>
      </c>
      <c r="N340" t="str">
        <v>Low</v>
      </c>
      <c r="O340" t="s">
        <v>63</v>
      </c>
    </row>
    <row r="341" spans="1:15" x14ac:dyDescent="0.3">
      <c r="A341" t="s">
        <v>379</v>
      </c>
      <c r="B341" s="1">
        <v>45632</v>
      </c>
      <c r="C341" t="s">
        <v>1151</v>
      </c>
      <c r="D341" t="s">
        <v>71</v>
      </c>
      <c r="E341" t="s">
        <v>1251</v>
      </c>
      <c r="F341" t="s">
        <v>1320</v>
      </c>
      <c r="G341" t="s">
        <v>60</v>
      </c>
      <c r="H341" t="s">
        <v>51</v>
      </c>
      <c r="I341">
        <v>6</v>
      </c>
      <c r="J341" s="24">
        <v>248.91</v>
      </c>
      <c r="K341" s="24">
        <f t="shared" si="10"/>
        <v>1493.46</v>
      </c>
      <c r="L341" s="24">
        <v>2036.55</v>
      </c>
      <c r="M341" s="2">
        <f t="shared" si="11"/>
        <v>543.08999999999992</v>
      </c>
      <c r="N341" t="str">
        <v>High</v>
      </c>
      <c r="O341" t="s">
        <v>64</v>
      </c>
    </row>
    <row r="342" spans="1:15" x14ac:dyDescent="0.3">
      <c r="A342" t="s">
        <v>380</v>
      </c>
      <c r="B342" s="1">
        <v>45633</v>
      </c>
      <c r="C342" t="s">
        <v>1066</v>
      </c>
      <c r="D342" t="s">
        <v>72</v>
      </c>
      <c r="E342" t="s">
        <v>1253</v>
      </c>
      <c r="F342" t="s">
        <v>1318</v>
      </c>
      <c r="G342" t="s">
        <v>60</v>
      </c>
      <c r="H342" t="s">
        <v>51</v>
      </c>
      <c r="I342">
        <v>3</v>
      </c>
      <c r="J342" s="24">
        <v>119.4</v>
      </c>
      <c r="K342" s="24">
        <f t="shared" si="10"/>
        <v>358.20000000000005</v>
      </c>
      <c r="L342" s="24">
        <v>503.21</v>
      </c>
      <c r="M342" s="2">
        <f t="shared" si="11"/>
        <v>145.00999999999993</v>
      </c>
      <c r="N342" t="str">
        <v>Low</v>
      </c>
      <c r="O342" t="s">
        <v>64</v>
      </c>
    </row>
    <row r="343" spans="1:15" x14ac:dyDescent="0.3">
      <c r="A343" t="s">
        <v>381</v>
      </c>
      <c r="B343" s="1">
        <v>45634</v>
      </c>
      <c r="C343" t="s">
        <v>1050</v>
      </c>
      <c r="D343" t="s">
        <v>71</v>
      </c>
      <c r="E343" t="s">
        <v>1251</v>
      </c>
      <c r="F343" t="s">
        <v>1276</v>
      </c>
      <c r="G343" t="s">
        <v>60</v>
      </c>
      <c r="H343" t="s">
        <v>52</v>
      </c>
      <c r="I343">
        <v>10</v>
      </c>
      <c r="J343" s="24">
        <v>460.05</v>
      </c>
      <c r="K343" s="24">
        <f t="shared" si="10"/>
        <v>4600.5</v>
      </c>
      <c r="L343" s="24">
        <v>6216.25</v>
      </c>
      <c r="M343" s="2">
        <f t="shared" si="11"/>
        <v>1615.75</v>
      </c>
      <c r="N343" t="str">
        <v>High</v>
      </c>
      <c r="O343" t="s">
        <v>63</v>
      </c>
    </row>
    <row r="344" spans="1:15" x14ac:dyDescent="0.3">
      <c r="A344" t="s">
        <v>382</v>
      </c>
      <c r="B344" s="1">
        <v>45635</v>
      </c>
      <c r="C344" t="s">
        <v>1089</v>
      </c>
      <c r="D344" t="s">
        <v>73</v>
      </c>
      <c r="E344" t="s">
        <v>1250</v>
      </c>
      <c r="F344" t="s">
        <v>1309</v>
      </c>
      <c r="G344" t="s">
        <v>60</v>
      </c>
      <c r="H344" t="s">
        <v>53</v>
      </c>
      <c r="I344">
        <v>5</v>
      </c>
      <c r="J344" s="24">
        <v>141.16999999999999</v>
      </c>
      <c r="K344" s="24">
        <f t="shared" si="10"/>
        <v>705.84999999999991</v>
      </c>
      <c r="L344" s="24">
        <v>920.64</v>
      </c>
      <c r="M344" s="2">
        <f t="shared" si="11"/>
        <v>214.79000000000008</v>
      </c>
      <c r="N344" t="str">
        <v>Low</v>
      </c>
      <c r="O344" t="s">
        <v>65</v>
      </c>
    </row>
    <row r="345" spans="1:15" x14ac:dyDescent="0.3">
      <c r="A345" t="s">
        <v>383</v>
      </c>
      <c r="B345" s="1">
        <v>45636</v>
      </c>
      <c r="C345" t="s">
        <v>1049</v>
      </c>
      <c r="D345" t="s">
        <v>73</v>
      </c>
      <c r="E345" t="s">
        <v>1250</v>
      </c>
      <c r="F345" t="s">
        <v>1309</v>
      </c>
      <c r="G345" t="s">
        <v>60</v>
      </c>
      <c r="H345" t="s">
        <v>53</v>
      </c>
      <c r="I345">
        <v>1</v>
      </c>
      <c r="J345" s="24">
        <v>138.54</v>
      </c>
      <c r="K345" s="24">
        <f t="shared" si="10"/>
        <v>138.54</v>
      </c>
      <c r="L345" s="24">
        <v>205.77</v>
      </c>
      <c r="M345" s="2">
        <f t="shared" si="11"/>
        <v>67.230000000000018</v>
      </c>
      <c r="N345" t="str">
        <v>Low</v>
      </c>
      <c r="O345" t="s">
        <v>64</v>
      </c>
    </row>
    <row r="346" spans="1:15" x14ac:dyDescent="0.3">
      <c r="A346" t="s">
        <v>384</v>
      </c>
      <c r="B346" s="1">
        <v>45637</v>
      </c>
      <c r="C346" t="s">
        <v>1128</v>
      </c>
      <c r="D346" t="s">
        <v>71</v>
      </c>
      <c r="E346" t="s">
        <v>1248</v>
      </c>
      <c r="F346" t="s">
        <v>1269</v>
      </c>
      <c r="G346" t="s">
        <v>60</v>
      </c>
      <c r="H346" t="s">
        <v>53</v>
      </c>
      <c r="I346">
        <v>2</v>
      </c>
      <c r="J346" s="24">
        <v>415.96</v>
      </c>
      <c r="K346" s="24">
        <f t="shared" si="10"/>
        <v>831.92</v>
      </c>
      <c r="L346" s="24">
        <v>1224.3800000000001</v>
      </c>
      <c r="M346" s="2">
        <f t="shared" si="11"/>
        <v>392.46000000000015</v>
      </c>
      <c r="N346" t="str">
        <v>Low</v>
      </c>
      <c r="O346" t="s">
        <v>65</v>
      </c>
    </row>
    <row r="347" spans="1:15" x14ac:dyDescent="0.3">
      <c r="A347" t="s">
        <v>385</v>
      </c>
      <c r="B347" s="1">
        <v>45638</v>
      </c>
      <c r="C347" t="s">
        <v>1199</v>
      </c>
      <c r="D347" t="s">
        <v>72</v>
      </c>
      <c r="E347" t="s">
        <v>1246</v>
      </c>
      <c r="F347" t="s">
        <v>1282</v>
      </c>
      <c r="G347" t="s">
        <v>60</v>
      </c>
      <c r="H347" t="s">
        <v>51</v>
      </c>
      <c r="I347">
        <v>5</v>
      </c>
      <c r="J347" s="24">
        <v>379.46</v>
      </c>
      <c r="K347" s="24">
        <f t="shared" si="10"/>
        <v>1897.3</v>
      </c>
      <c r="L347" s="24">
        <v>2742.8</v>
      </c>
      <c r="M347" s="2">
        <f t="shared" si="11"/>
        <v>845.50000000000023</v>
      </c>
      <c r="N347" t="str">
        <v>High</v>
      </c>
      <c r="O347" t="s">
        <v>63</v>
      </c>
    </row>
    <row r="348" spans="1:15" x14ac:dyDescent="0.3">
      <c r="A348" t="s">
        <v>386</v>
      </c>
      <c r="B348" s="1">
        <v>45639</v>
      </c>
      <c r="C348" t="s">
        <v>1200</v>
      </c>
      <c r="D348" t="s">
        <v>71</v>
      </c>
      <c r="E348" t="s">
        <v>1251</v>
      </c>
      <c r="F348" t="s">
        <v>1326</v>
      </c>
      <c r="G348" t="s">
        <v>60</v>
      </c>
      <c r="H348" t="s">
        <v>51</v>
      </c>
      <c r="I348">
        <v>9</v>
      </c>
      <c r="J348" s="24">
        <v>431.58</v>
      </c>
      <c r="K348" s="24">
        <f t="shared" si="10"/>
        <v>3884.22</v>
      </c>
      <c r="L348" s="24">
        <v>4329.21</v>
      </c>
      <c r="M348" s="2">
        <f t="shared" si="11"/>
        <v>444.99000000000024</v>
      </c>
      <c r="N348" t="str">
        <v>High</v>
      </c>
      <c r="O348" t="s">
        <v>65</v>
      </c>
    </row>
    <row r="349" spans="1:15" x14ac:dyDescent="0.3">
      <c r="A349" t="s">
        <v>387</v>
      </c>
      <c r="B349" s="1">
        <v>45640</v>
      </c>
      <c r="C349" t="s">
        <v>1040</v>
      </c>
      <c r="D349" t="s">
        <v>72</v>
      </c>
      <c r="E349" t="s">
        <v>1242</v>
      </c>
      <c r="F349" t="s">
        <v>1280</v>
      </c>
      <c r="G349" t="s">
        <v>60</v>
      </c>
      <c r="H349" t="s">
        <v>52</v>
      </c>
      <c r="I349">
        <v>9</v>
      </c>
      <c r="J349" s="24">
        <v>398.18</v>
      </c>
      <c r="K349" s="24">
        <f t="shared" si="10"/>
        <v>3583.62</v>
      </c>
      <c r="L349" s="24">
        <v>5183.71</v>
      </c>
      <c r="M349" s="2">
        <f t="shared" si="11"/>
        <v>1600.0900000000001</v>
      </c>
      <c r="N349" t="str">
        <v>High</v>
      </c>
      <c r="O349" t="s">
        <v>64</v>
      </c>
    </row>
    <row r="350" spans="1:15" x14ac:dyDescent="0.3">
      <c r="A350" t="s">
        <v>388</v>
      </c>
      <c r="B350" s="1">
        <v>45641</v>
      </c>
      <c r="C350" t="s">
        <v>1201</v>
      </c>
      <c r="D350" t="s">
        <v>72</v>
      </c>
      <c r="E350" t="s">
        <v>1245</v>
      </c>
      <c r="F350" t="s">
        <v>1305</v>
      </c>
      <c r="G350" t="s">
        <v>60</v>
      </c>
      <c r="H350" t="s">
        <v>53</v>
      </c>
      <c r="I350">
        <v>1</v>
      </c>
      <c r="J350" s="24">
        <v>247.9</v>
      </c>
      <c r="K350" s="24">
        <f t="shared" si="10"/>
        <v>247.9</v>
      </c>
      <c r="L350" s="24">
        <v>294.75</v>
      </c>
      <c r="M350" s="2">
        <f t="shared" si="11"/>
        <v>46.849999999999994</v>
      </c>
      <c r="N350" t="str">
        <v>Low</v>
      </c>
      <c r="O350" t="s">
        <v>64</v>
      </c>
    </row>
    <row r="351" spans="1:15" x14ac:dyDescent="0.3">
      <c r="A351" t="s">
        <v>389</v>
      </c>
      <c r="B351" s="1">
        <v>45642</v>
      </c>
      <c r="C351" t="s">
        <v>1066</v>
      </c>
      <c r="D351" t="s">
        <v>71</v>
      </c>
      <c r="E351" t="s">
        <v>1240</v>
      </c>
      <c r="F351" t="s">
        <v>1260</v>
      </c>
      <c r="G351" t="s">
        <v>60</v>
      </c>
      <c r="H351" t="s">
        <v>54</v>
      </c>
      <c r="I351">
        <v>6</v>
      </c>
      <c r="J351" s="24">
        <v>216.49</v>
      </c>
      <c r="K351" s="24">
        <f t="shared" si="10"/>
        <v>1298.94</v>
      </c>
      <c r="L351" s="24">
        <v>1579.49</v>
      </c>
      <c r="M351" s="2">
        <f t="shared" si="11"/>
        <v>280.54999999999995</v>
      </c>
      <c r="N351" t="str">
        <v>Low</v>
      </c>
      <c r="O351" t="s">
        <v>64</v>
      </c>
    </row>
    <row r="352" spans="1:15" x14ac:dyDescent="0.3">
      <c r="A352" t="s">
        <v>390</v>
      </c>
      <c r="B352" s="1">
        <v>45643</v>
      </c>
      <c r="C352" t="s">
        <v>1202</v>
      </c>
      <c r="D352" t="s">
        <v>74</v>
      </c>
      <c r="E352" t="s">
        <v>1247</v>
      </c>
      <c r="F352" t="s">
        <v>1327</v>
      </c>
      <c r="G352" t="s">
        <v>60</v>
      </c>
      <c r="H352" t="s">
        <v>53</v>
      </c>
      <c r="I352">
        <v>9</v>
      </c>
      <c r="J352" s="24">
        <v>222.77</v>
      </c>
      <c r="K352" s="24">
        <f t="shared" si="10"/>
        <v>2004.93</v>
      </c>
      <c r="L352" s="24">
        <v>2283.5500000000002</v>
      </c>
      <c r="M352" s="2">
        <f t="shared" si="11"/>
        <v>278.62000000000012</v>
      </c>
      <c r="N352" t="str">
        <v>High</v>
      </c>
      <c r="O352" t="s">
        <v>65</v>
      </c>
    </row>
    <row r="353" spans="1:15" x14ac:dyDescent="0.3">
      <c r="A353" t="s">
        <v>391</v>
      </c>
      <c r="B353" s="1">
        <v>45644</v>
      </c>
      <c r="C353" t="s">
        <v>1172</v>
      </c>
      <c r="D353" t="s">
        <v>72</v>
      </c>
      <c r="E353" t="s">
        <v>1245</v>
      </c>
      <c r="F353" t="s">
        <v>1328</v>
      </c>
      <c r="G353" t="s">
        <v>60</v>
      </c>
      <c r="H353" t="s">
        <v>54</v>
      </c>
      <c r="I353">
        <v>9</v>
      </c>
      <c r="J353" s="24">
        <v>116.53</v>
      </c>
      <c r="K353" s="24">
        <f t="shared" si="10"/>
        <v>1048.77</v>
      </c>
      <c r="L353" s="24">
        <v>1445.17</v>
      </c>
      <c r="M353" s="2">
        <f t="shared" si="11"/>
        <v>396.40000000000009</v>
      </c>
      <c r="N353" t="str">
        <v>Low</v>
      </c>
      <c r="O353" t="s">
        <v>65</v>
      </c>
    </row>
    <row r="354" spans="1:15" x14ac:dyDescent="0.3">
      <c r="A354" t="s">
        <v>392</v>
      </c>
      <c r="B354" s="1">
        <v>45645</v>
      </c>
      <c r="C354" t="s">
        <v>1183</v>
      </c>
      <c r="D354" t="s">
        <v>71</v>
      </c>
      <c r="E354" t="s">
        <v>1241</v>
      </c>
      <c r="F354" t="s">
        <v>1287</v>
      </c>
      <c r="G354" t="s">
        <v>60</v>
      </c>
      <c r="H354" t="s">
        <v>51</v>
      </c>
      <c r="I354">
        <v>10</v>
      </c>
      <c r="J354" s="24">
        <v>207.63</v>
      </c>
      <c r="K354" s="24">
        <f t="shared" si="10"/>
        <v>2076.3000000000002</v>
      </c>
      <c r="L354" s="24">
        <v>2597.08</v>
      </c>
      <c r="M354" s="2">
        <f t="shared" si="11"/>
        <v>520.77999999999975</v>
      </c>
      <c r="N354" t="str">
        <v>High</v>
      </c>
      <c r="O354" t="s">
        <v>64</v>
      </c>
    </row>
    <row r="355" spans="1:15" x14ac:dyDescent="0.3">
      <c r="A355" t="s">
        <v>393</v>
      </c>
      <c r="B355" s="1">
        <v>45646</v>
      </c>
      <c r="C355" t="s">
        <v>1203</v>
      </c>
      <c r="D355" t="s">
        <v>71</v>
      </c>
      <c r="E355" t="s">
        <v>1251</v>
      </c>
      <c r="F355" t="s">
        <v>1279</v>
      </c>
      <c r="G355" t="s">
        <v>60</v>
      </c>
      <c r="H355" t="s">
        <v>53</v>
      </c>
      <c r="I355">
        <v>8</v>
      </c>
      <c r="J355" s="24">
        <v>156.36000000000001</v>
      </c>
      <c r="K355" s="24">
        <f t="shared" si="10"/>
        <v>1250.8800000000001</v>
      </c>
      <c r="L355" s="24">
        <v>1503.06</v>
      </c>
      <c r="M355" s="2">
        <f t="shared" si="11"/>
        <v>252.17999999999984</v>
      </c>
      <c r="N355" t="str">
        <v>Low</v>
      </c>
      <c r="O355" t="s">
        <v>64</v>
      </c>
    </row>
    <row r="356" spans="1:15" x14ac:dyDescent="0.3">
      <c r="A356" t="s">
        <v>394</v>
      </c>
      <c r="B356" s="1">
        <v>45647</v>
      </c>
      <c r="C356" t="s">
        <v>1152</v>
      </c>
      <c r="D356" t="s">
        <v>72</v>
      </c>
      <c r="E356" t="s">
        <v>1245</v>
      </c>
      <c r="F356" t="s">
        <v>1305</v>
      </c>
      <c r="G356" t="s">
        <v>60</v>
      </c>
      <c r="H356" t="s">
        <v>53</v>
      </c>
      <c r="I356">
        <v>2</v>
      </c>
      <c r="J356" s="24">
        <v>27.87</v>
      </c>
      <c r="K356" s="24">
        <f t="shared" si="10"/>
        <v>55.74</v>
      </c>
      <c r="L356" s="24">
        <v>66.959999999999994</v>
      </c>
      <c r="M356" s="2">
        <f t="shared" si="11"/>
        <v>11.219999999999992</v>
      </c>
      <c r="N356" t="str">
        <v>Low</v>
      </c>
      <c r="O356" t="s">
        <v>63</v>
      </c>
    </row>
    <row r="357" spans="1:15" x14ac:dyDescent="0.3">
      <c r="A357" t="s">
        <v>395</v>
      </c>
      <c r="B357" s="1">
        <v>45648</v>
      </c>
      <c r="C357" t="s">
        <v>1128</v>
      </c>
      <c r="D357" t="s">
        <v>72</v>
      </c>
      <c r="E357" t="s">
        <v>1242</v>
      </c>
      <c r="F357" t="s">
        <v>1288</v>
      </c>
      <c r="G357" t="s">
        <v>60</v>
      </c>
      <c r="H357" t="s">
        <v>51</v>
      </c>
      <c r="I357">
        <v>6</v>
      </c>
      <c r="J357" s="24">
        <v>409.98</v>
      </c>
      <c r="K357" s="24">
        <f t="shared" si="10"/>
        <v>2459.88</v>
      </c>
      <c r="L357" s="24">
        <v>2878.72</v>
      </c>
      <c r="M357" s="2">
        <f t="shared" si="11"/>
        <v>418.83999999999969</v>
      </c>
      <c r="N357" t="str">
        <v>High</v>
      </c>
      <c r="O357" t="s">
        <v>63</v>
      </c>
    </row>
    <row r="358" spans="1:15" x14ac:dyDescent="0.3">
      <c r="A358" t="s">
        <v>396</v>
      </c>
      <c r="B358" s="1">
        <v>45649</v>
      </c>
      <c r="C358" t="s">
        <v>1204</v>
      </c>
      <c r="D358" t="s">
        <v>74</v>
      </c>
      <c r="E358" t="s">
        <v>1247</v>
      </c>
      <c r="F358" t="s">
        <v>1283</v>
      </c>
      <c r="G358" t="s">
        <v>60</v>
      </c>
      <c r="H358" t="s">
        <v>53</v>
      </c>
      <c r="I358">
        <v>5</v>
      </c>
      <c r="J358" s="24">
        <v>280.76</v>
      </c>
      <c r="K358" s="24">
        <f t="shared" si="10"/>
        <v>1403.8</v>
      </c>
      <c r="L358" s="24">
        <v>1987.29</v>
      </c>
      <c r="M358" s="2">
        <f t="shared" si="11"/>
        <v>583.49</v>
      </c>
      <c r="N358" t="str">
        <v>Low</v>
      </c>
      <c r="O358" t="s">
        <v>64</v>
      </c>
    </row>
    <row r="359" spans="1:15" x14ac:dyDescent="0.3">
      <c r="A359" t="s">
        <v>397</v>
      </c>
      <c r="B359" s="1">
        <v>45650</v>
      </c>
      <c r="C359" t="s">
        <v>1142</v>
      </c>
      <c r="D359" t="s">
        <v>74</v>
      </c>
      <c r="E359" t="s">
        <v>1244</v>
      </c>
      <c r="F359" t="s">
        <v>1264</v>
      </c>
      <c r="G359" t="s">
        <v>60</v>
      </c>
      <c r="H359" t="s">
        <v>51</v>
      </c>
      <c r="I359">
        <v>5</v>
      </c>
      <c r="J359" s="24">
        <v>353.43</v>
      </c>
      <c r="K359" s="24">
        <f t="shared" si="10"/>
        <v>1767.15</v>
      </c>
      <c r="L359" s="24">
        <v>2334.65</v>
      </c>
      <c r="M359" s="2">
        <f t="shared" si="11"/>
        <v>567.5</v>
      </c>
      <c r="N359" t="str">
        <v>High</v>
      </c>
      <c r="O359" t="s">
        <v>63</v>
      </c>
    </row>
    <row r="360" spans="1:15" x14ac:dyDescent="0.3">
      <c r="A360" t="s">
        <v>398</v>
      </c>
      <c r="B360" s="1">
        <v>45651</v>
      </c>
      <c r="C360" t="s">
        <v>1141</v>
      </c>
      <c r="D360" t="s">
        <v>74</v>
      </c>
      <c r="E360" t="s">
        <v>1249</v>
      </c>
      <c r="F360" t="s">
        <v>1321</v>
      </c>
      <c r="G360" t="s">
        <v>60</v>
      </c>
      <c r="H360" t="s">
        <v>52</v>
      </c>
      <c r="I360">
        <v>9</v>
      </c>
      <c r="J360" s="24">
        <v>384.75</v>
      </c>
      <c r="K360" s="24">
        <f t="shared" si="10"/>
        <v>3462.75</v>
      </c>
      <c r="L360" s="24">
        <v>4650.3599999999997</v>
      </c>
      <c r="M360" s="2">
        <f t="shared" si="11"/>
        <v>1187.6099999999997</v>
      </c>
      <c r="N360" t="str">
        <v>High</v>
      </c>
      <c r="O360" t="s">
        <v>64</v>
      </c>
    </row>
    <row r="361" spans="1:15" x14ac:dyDescent="0.3">
      <c r="A361" t="s">
        <v>399</v>
      </c>
      <c r="B361" s="1">
        <v>45652</v>
      </c>
      <c r="C361" t="s">
        <v>1205</v>
      </c>
      <c r="D361" t="s">
        <v>73</v>
      </c>
      <c r="E361" t="s">
        <v>1252</v>
      </c>
      <c r="F361" t="s">
        <v>1297</v>
      </c>
      <c r="G361" t="s">
        <v>60</v>
      </c>
      <c r="H361" t="s">
        <v>51</v>
      </c>
      <c r="I361">
        <v>8</v>
      </c>
      <c r="J361" s="24">
        <v>379.1</v>
      </c>
      <c r="K361" s="24">
        <f t="shared" si="10"/>
        <v>3032.8</v>
      </c>
      <c r="L361" s="24">
        <v>3641.63</v>
      </c>
      <c r="M361" s="2">
        <f t="shared" si="11"/>
        <v>608.82999999999993</v>
      </c>
      <c r="N361" t="str">
        <v>High</v>
      </c>
      <c r="O361" t="s">
        <v>65</v>
      </c>
    </row>
    <row r="362" spans="1:15" x14ac:dyDescent="0.3">
      <c r="A362" t="s">
        <v>400</v>
      </c>
      <c r="B362" s="1">
        <v>45653</v>
      </c>
      <c r="C362" t="s">
        <v>1051</v>
      </c>
      <c r="D362" t="s">
        <v>71</v>
      </c>
      <c r="E362" t="s">
        <v>1251</v>
      </c>
      <c r="F362" t="s">
        <v>1320</v>
      </c>
      <c r="G362" t="s">
        <v>60</v>
      </c>
      <c r="H362" t="s">
        <v>51</v>
      </c>
      <c r="I362">
        <v>9</v>
      </c>
      <c r="J362" s="24">
        <v>314.85000000000002</v>
      </c>
      <c r="K362" s="24">
        <f t="shared" si="10"/>
        <v>2833.65</v>
      </c>
      <c r="L362" s="24">
        <v>3204.95</v>
      </c>
      <c r="M362" s="2">
        <f t="shared" si="11"/>
        <v>371.29999999999973</v>
      </c>
      <c r="N362" t="str">
        <v>High</v>
      </c>
      <c r="O362" t="s">
        <v>64</v>
      </c>
    </row>
    <row r="363" spans="1:15" x14ac:dyDescent="0.3">
      <c r="A363" t="s">
        <v>401</v>
      </c>
      <c r="B363" s="1">
        <v>45654</v>
      </c>
      <c r="C363" t="s">
        <v>1086</v>
      </c>
      <c r="D363" t="s">
        <v>71</v>
      </c>
      <c r="E363" t="s">
        <v>1254</v>
      </c>
      <c r="F363" t="s">
        <v>1296</v>
      </c>
      <c r="G363" t="s">
        <v>60</v>
      </c>
      <c r="H363" t="s">
        <v>52</v>
      </c>
      <c r="I363">
        <v>8</v>
      </c>
      <c r="J363" s="24">
        <v>464</v>
      </c>
      <c r="K363" s="24">
        <f t="shared" si="10"/>
        <v>3712</v>
      </c>
      <c r="L363" s="24">
        <v>4976.92</v>
      </c>
      <c r="M363" s="2">
        <f t="shared" si="11"/>
        <v>1264.92</v>
      </c>
      <c r="N363" t="str">
        <v>High</v>
      </c>
      <c r="O363" t="s">
        <v>64</v>
      </c>
    </row>
    <row r="364" spans="1:15" x14ac:dyDescent="0.3">
      <c r="A364" t="s">
        <v>402</v>
      </c>
      <c r="B364" s="1">
        <v>45655</v>
      </c>
      <c r="C364" t="s">
        <v>1101</v>
      </c>
      <c r="D364" t="s">
        <v>74</v>
      </c>
      <c r="E364" t="s">
        <v>1244</v>
      </c>
      <c r="F364" t="s">
        <v>1264</v>
      </c>
      <c r="G364" t="s">
        <v>60</v>
      </c>
      <c r="H364" t="s">
        <v>53</v>
      </c>
      <c r="I364">
        <v>7</v>
      </c>
      <c r="J364" s="24">
        <v>202.14</v>
      </c>
      <c r="K364" s="24">
        <f t="shared" si="10"/>
        <v>1414.98</v>
      </c>
      <c r="L364" s="24">
        <v>1602.94</v>
      </c>
      <c r="M364" s="2">
        <f t="shared" si="11"/>
        <v>187.96000000000004</v>
      </c>
      <c r="N364" t="str">
        <v>Low</v>
      </c>
      <c r="O364" t="s">
        <v>65</v>
      </c>
    </row>
    <row r="365" spans="1:15" x14ac:dyDescent="0.3">
      <c r="A365" t="s">
        <v>403</v>
      </c>
      <c r="B365" s="1">
        <v>45656</v>
      </c>
      <c r="C365" t="s">
        <v>1121</v>
      </c>
      <c r="D365" t="s">
        <v>71</v>
      </c>
      <c r="E365" t="s">
        <v>1251</v>
      </c>
      <c r="F365" t="s">
        <v>1315</v>
      </c>
      <c r="G365" t="s">
        <v>60</v>
      </c>
      <c r="H365" t="s">
        <v>51</v>
      </c>
      <c r="I365">
        <v>6</v>
      </c>
      <c r="J365" s="24">
        <v>300.56</v>
      </c>
      <c r="K365" s="24">
        <f t="shared" si="10"/>
        <v>1803.3600000000001</v>
      </c>
      <c r="L365" s="24">
        <v>2088.02</v>
      </c>
      <c r="M365" s="2">
        <f t="shared" si="11"/>
        <v>284.65999999999985</v>
      </c>
      <c r="N365" t="str">
        <v>High</v>
      </c>
      <c r="O365" t="s">
        <v>65</v>
      </c>
    </row>
    <row r="366" spans="1:15" x14ac:dyDescent="0.3">
      <c r="A366" t="s">
        <v>404</v>
      </c>
      <c r="B366" s="1">
        <v>45657</v>
      </c>
      <c r="C366" t="s">
        <v>1111</v>
      </c>
      <c r="D366" t="s">
        <v>71</v>
      </c>
      <c r="E366" t="s">
        <v>1254</v>
      </c>
      <c r="F366" t="s">
        <v>1292</v>
      </c>
      <c r="G366" t="s">
        <v>60</v>
      </c>
      <c r="H366" t="s">
        <v>53</v>
      </c>
      <c r="I366">
        <v>9</v>
      </c>
      <c r="J366" s="24">
        <v>472.87</v>
      </c>
      <c r="K366" s="24">
        <f t="shared" si="10"/>
        <v>4255.83</v>
      </c>
      <c r="L366" s="24">
        <v>5516.54</v>
      </c>
      <c r="M366" s="2">
        <f t="shared" si="11"/>
        <v>1260.71</v>
      </c>
      <c r="N366" t="str">
        <v>High</v>
      </c>
      <c r="O366" t="s">
        <v>64</v>
      </c>
    </row>
    <row r="367" spans="1:15" x14ac:dyDescent="0.3">
      <c r="A367" t="s">
        <v>405</v>
      </c>
      <c r="B367" s="1">
        <v>45658</v>
      </c>
      <c r="C367" t="s">
        <v>1182</v>
      </c>
      <c r="D367" t="s">
        <v>71</v>
      </c>
      <c r="E367" t="s">
        <v>1248</v>
      </c>
      <c r="F367" t="s">
        <v>1291</v>
      </c>
      <c r="G367" t="s">
        <v>60</v>
      </c>
      <c r="H367" t="s">
        <v>54</v>
      </c>
      <c r="I367">
        <v>10</v>
      </c>
      <c r="J367" s="24">
        <v>233.44</v>
      </c>
      <c r="K367" s="24">
        <f t="shared" si="10"/>
        <v>2334.4</v>
      </c>
      <c r="L367" s="24">
        <v>2742.26</v>
      </c>
      <c r="M367" s="2">
        <f t="shared" si="11"/>
        <v>407.86000000000013</v>
      </c>
      <c r="N367" t="str">
        <v>High</v>
      </c>
      <c r="O367" t="s">
        <v>63</v>
      </c>
    </row>
    <row r="368" spans="1:15" x14ac:dyDescent="0.3">
      <c r="A368" t="s">
        <v>406</v>
      </c>
      <c r="B368" s="1">
        <v>45659</v>
      </c>
      <c r="C368" t="s">
        <v>1206</v>
      </c>
      <c r="D368" t="s">
        <v>73</v>
      </c>
      <c r="E368" t="s">
        <v>1252</v>
      </c>
      <c r="F368" t="s">
        <v>1289</v>
      </c>
      <c r="G368" t="s">
        <v>60</v>
      </c>
      <c r="H368" t="s">
        <v>54</v>
      </c>
      <c r="I368">
        <v>4</v>
      </c>
      <c r="J368" s="24">
        <v>40.72</v>
      </c>
      <c r="K368" s="24">
        <f t="shared" si="10"/>
        <v>162.88</v>
      </c>
      <c r="L368" s="24">
        <v>217.53</v>
      </c>
      <c r="M368" s="2">
        <f t="shared" si="11"/>
        <v>54.650000000000006</v>
      </c>
      <c r="N368" t="str">
        <v>Low</v>
      </c>
      <c r="O368" t="s">
        <v>64</v>
      </c>
    </row>
    <row r="369" spans="1:15" x14ac:dyDescent="0.3">
      <c r="A369" t="s">
        <v>407</v>
      </c>
      <c r="B369" s="1">
        <v>45660</v>
      </c>
      <c r="C369" t="s">
        <v>1108</v>
      </c>
      <c r="D369" t="s">
        <v>71</v>
      </c>
      <c r="E369" t="s">
        <v>1254</v>
      </c>
      <c r="F369" t="s">
        <v>1296</v>
      </c>
      <c r="G369" t="s">
        <v>60</v>
      </c>
      <c r="H369" t="s">
        <v>51</v>
      </c>
      <c r="I369">
        <v>6</v>
      </c>
      <c r="J369" s="24">
        <v>365.43</v>
      </c>
      <c r="K369" s="24">
        <f t="shared" si="10"/>
        <v>2192.58</v>
      </c>
      <c r="L369" s="24">
        <v>3070.46</v>
      </c>
      <c r="M369" s="2">
        <f t="shared" si="11"/>
        <v>877.88000000000011</v>
      </c>
      <c r="N369" t="str">
        <v>High</v>
      </c>
      <c r="O369" t="s">
        <v>64</v>
      </c>
    </row>
    <row r="370" spans="1:15" x14ac:dyDescent="0.3">
      <c r="A370" t="s">
        <v>408</v>
      </c>
      <c r="B370" s="1">
        <v>45661</v>
      </c>
      <c r="C370" t="s">
        <v>1171</v>
      </c>
      <c r="D370" t="s">
        <v>73</v>
      </c>
      <c r="E370" t="s">
        <v>1243</v>
      </c>
      <c r="F370" t="s">
        <v>1272</v>
      </c>
      <c r="G370" t="s">
        <v>60</v>
      </c>
      <c r="H370" t="s">
        <v>52</v>
      </c>
      <c r="I370">
        <v>7</v>
      </c>
      <c r="J370" s="24">
        <v>138.12</v>
      </c>
      <c r="K370" s="24">
        <f t="shared" si="10"/>
        <v>966.84</v>
      </c>
      <c r="L370" s="24">
        <v>1435.51</v>
      </c>
      <c r="M370" s="2">
        <f t="shared" si="11"/>
        <v>468.66999999999996</v>
      </c>
      <c r="N370" t="str">
        <v>Low</v>
      </c>
      <c r="O370" t="s">
        <v>65</v>
      </c>
    </row>
    <row r="371" spans="1:15" x14ac:dyDescent="0.3">
      <c r="A371" t="s">
        <v>409</v>
      </c>
      <c r="B371" s="1">
        <v>45662</v>
      </c>
      <c r="C371" t="s">
        <v>1058</v>
      </c>
      <c r="D371" t="s">
        <v>71</v>
      </c>
      <c r="E371" t="s">
        <v>1254</v>
      </c>
      <c r="F371" t="s">
        <v>1296</v>
      </c>
      <c r="G371" t="s">
        <v>60</v>
      </c>
      <c r="H371" t="s">
        <v>51</v>
      </c>
      <c r="I371">
        <v>7</v>
      </c>
      <c r="J371" s="24">
        <v>193.71</v>
      </c>
      <c r="K371" s="24">
        <f t="shared" si="10"/>
        <v>1355.97</v>
      </c>
      <c r="L371" s="24">
        <v>1543.35</v>
      </c>
      <c r="M371" s="2">
        <f t="shared" si="11"/>
        <v>187.37999999999988</v>
      </c>
      <c r="N371" t="str">
        <v>Low</v>
      </c>
      <c r="O371" t="s">
        <v>65</v>
      </c>
    </row>
    <row r="372" spans="1:15" x14ac:dyDescent="0.3">
      <c r="A372" t="s">
        <v>410</v>
      </c>
      <c r="B372" s="1">
        <v>45663</v>
      </c>
      <c r="C372" t="s">
        <v>1207</v>
      </c>
      <c r="D372" t="s">
        <v>73</v>
      </c>
      <c r="E372" t="s">
        <v>1252</v>
      </c>
      <c r="F372" t="s">
        <v>1278</v>
      </c>
      <c r="G372" t="s">
        <v>60</v>
      </c>
      <c r="H372" t="s">
        <v>52</v>
      </c>
      <c r="I372">
        <v>2</v>
      </c>
      <c r="J372" s="24">
        <v>158.91999999999999</v>
      </c>
      <c r="K372" s="24">
        <f t="shared" si="10"/>
        <v>317.83999999999997</v>
      </c>
      <c r="L372" s="24">
        <v>458.27</v>
      </c>
      <c r="M372" s="2">
        <f t="shared" si="11"/>
        <v>140.43</v>
      </c>
      <c r="N372" t="str">
        <v>Low</v>
      </c>
      <c r="O372" t="s">
        <v>63</v>
      </c>
    </row>
    <row r="373" spans="1:15" x14ac:dyDescent="0.3">
      <c r="A373" t="s">
        <v>411</v>
      </c>
      <c r="B373" s="1">
        <v>45664</v>
      </c>
      <c r="C373" t="s">
        <v>1208</v>
      </c>
      <c r="D373" t="s">
        <v>74</v>
      </c>
      <c r="E373" t="s">
        <v>1249</v>
      </c>
      <c r="F373" t="s">
        <v>1308</v>
      </c>
      <c r="G373" t="s">
        <v>60</v>
      </c>
      <c r="H373" t="s">
        <v>51</v>
      </c>
      <c r="I373">
        <v>4</v>
      </c>
      <c r="J373" s="24">
        <v>79.34</v>
      </c>
      <c r="K373" s="24">
        <f t="shared" si="10"/>
        <v>317.36</v>
      </c>
      <c r="L373" s="24">
        <v>408.23</v>
      </c>
      <c r="M373" s="2">
        <f t="shared" si="11"/>
        <v>90.87</v>
      </c>
      <c r="N373" t="str">
        <v>Low</v>
      </c>
      <c r="O373" t="s">
        <v>64</v>
      </c>
    </row>
    <row r="374" spans="1:15" x14ac:dyDescent="0.3">
      <c r="A374" t="s">
        <v>412</v>
      </c>
      <c r="B374" s="1">
        <v>45665</v>
      </c>
      <c r="C374" t="s">
        <v>1142</v>
      </c>
      <c r="D374" t="s">
        <v>71</v>
      </c>
      <c r="E374" t="s">
        <v>1251</v>
      </c>
      <c r="F374" t="s">
        <v>1279</v>
      </c>
      <c r="G374" t="s">
        <v>60</v>
      </c>
      <c r="H374" t="s">
        <v>51</v>
      </c>
      <c r="I374">
        <v>8</v>
      </c>
      <c r="J374" s="24">
        <v>107.53</v>
      </c>
      <c r="K374" s="24">
        <f t="shared" si="10"/>
        <v>860.24</v>
      </c>
      <c r="L374" s="24">
        <v>1116.02</v>
      </c>
      <c r="M374" s="2">
        <f t="shared" si="11"/>
        <v>255.77999999999997</v>
      </c>
      <c r="N374" t="str">
        <v>Low</v>
      </c>
      <c r="O374" t="s">
        <v>64</v>
      </c>
    </row>
    <row r="375" spans="1:15" x14ac:dyDescent="0.3">
      <c r="A375" t="s">
        <v>413</v>
      </c>
      <c r="B375" s="1">
        <v>45666</v>
      </c>
      <c r="C375" t="s">
        <v>1072</v>
      </c>
      <c r="D375" t="s">
        <v>72</v>
      </c>
      <c r="E375" t="s">
        <v>1242</v>
      </c>
      <c r="F375" t="s">
        <v>1280</v>
      </c>
      <c r="G375" t="s">
        <v>60</v>
      </c>
      <c r="H375" t="s">
        <v>52</v>
      </c>
      <c r="I375">
        <v>3</v>
      </c>
      <c r="J375" s="24">
        <v>215.6</v>
      </c>
      <c r="K375" s="24">
        <f t="shared" si="10"/>
        <v>646.79999999999995</v>
      </c>
      <c r="L375" s="24">
        <v>922.09</v>
      </c>
      <c r="M375" s="2">
        <f t="shared" si="11"/>
        <v>275.29000000000008</v>
      </c>
      <c r="N375" t="str">
        <v>Low</v>
      </c>
      <c r="O375" t="s">
        <v>65</v>
      </c>
    </row>
    <row r="376" spans="1:15" x14ac:dyDescent="0.3">
      <c r="A376" t="s">
        <v>414</v>
      </c>
      <c r="B376" s="1">
        <v>45667</v>
      </c>
      <c r="C376" t="s">
        <v>1063</v>
      </c>
      <c r="D376" t="s">
        <v>1255</v>
      </c>
      <c r="E376" t="s">
        <v>59</v>
      </c>
      <c r="F376" t="s">
        <v>1295</v>
      </c>
      <c r="G376" t="s">
        <v>60</v>
      </c>
      <c r="H376" t="s">
        <v>54</v>
      </c>
      <c r="I376">
        <v>3</v>
      </c>
      <c r="J376" s="24">
        <v>426.07</v>
      </c>
      <c r="K376" s="24">
        <f t="shared" si="10"/>
        <v>1278.21</v>
      </c>
      <c r="L376" s="24">
        <v>1764.4</v>
      </c>
      <c r="M376" s="2">
        <f t="shared" si="11"/>
        <v>486.19000000000005</v>
      </c>
      <c r="N376" t="str">
        <v>Low</v>
      </c>
      <c r="O376" t="s">
        <v>64</v>
      </c>
    </row>
    <row r="377" spans="1:15" x14ac:dyDescent="0.3">
      <c r="A377" t="s">
        <v>415</v>
      </c>
      <c r="B377" s="1">
        <v>45668</v>
      </c>
      <c r="C377" t="s">
        <v>1067</v>
      </c>
      <c r="D377" t="s">
        <v>72</v>
      </c>
      <c r="E377" t="s">
        <v>1242</v>
      </c>
      <c r="F377" t="s">
        <v>1294</v>
      </c>
      <c r="G377" t="s">
        <v>60</v>
      </c>
      <c r="H377" t="s">
        <v>53</v>
      </c>
      <c r="I377">
        <v>2</v>
      </c>
      <c r="J377" s="24">
        <v>214.91</v>
      </c>
      <c r="K377" s="24">
        <f t="shared" si="10"/>
        <v>429.82</v>
      </c>
      <c r="L377" s="24">
        <v>549.22</v>
      </c>
      <c r="M377" s="2">
        <f t="shared" si="11"/>
        <v>119.40000000000003</v>
      </c>
      <c r="N377" t="str">
        <v>Low</v>
      </c>
      <c r="O377" t="s">
        <v>63</v>
      </c>
    </row>
    <row r="378" spans="1:15" x14ac:dyDescent="0.3">
      <c r="A378" t="s">
        <v>416</v>
      </c>
      <c r="B378" s="1">
        <v>45669</v>
      </c>
      <c r="C378" t="s">
        <v>1202</v>
      </c>
      <c r="D378" t="s">
        <v>72</v>
      </c>
      <c r="E378" t="s">
        <v>1253</v>
      </c>
      <c r="F378" t="s">
        <v>1331</v>
      </c>
      <c r="G378" t="s">
        <v>60</v>
      </c>
      <c r="H378" t="s">
        <v>53</v>
      </c>
      <c r="I378">
        <v>6</v>
      </c>
      <c r="J378" s="24">
        <v>202.29</v>
      </c>
      <c r="K378" s="24">
        <f t="shared" si="10"/>
        <v>1213.74</v>
      </c>
      <c r="L378" s="24">
        <v>1736.47</v>
      </c>
      <c r="M378" s="2">
        <f t="shared" si="11"/>
        <v>522.73</v>
      </c>
      <c r="N378" t="str">
        <v>Low</v>
      </c>
      <c r="O378" t="s">
        <v>63</v>
      </c>
    </row>
    <row r="379" spans="1:15" x14ac:dyDescent="0.3">
      <c r="A379" t="s">
        <v>417</v>
      </c>
      <c r="B379" s="1">
        <v>45670</v>
      </c>
      <c r="C379" t="s">
        <v>1099</v>
      </c>
      <c r="D379" t="s">
        <v>72</v>
      </c>
      <c r="E379" t="s">
        <v>1246</v>
      </c>
      <c r="F379" t="s">
        <v>1282</v>
      </c>
      <c r="G379" t="s">
        <v>60</v>
      </c>
      <c r="H379" t="s">
        <v>53</v>
      </c>
      <c r="I379">
        <v>9</v>
      </c>
      <c r="J379" s="24">
        <v>450.82</v>
      </c>
      <c r="K379" s="24">
        <f t="shared" si="10"/>
        <v>4057.38</v>
      </c>
      <c r="L379" s="24">
        <v>4830.99</v>
      </c>
      <c r="M379" s="2">
        <f t="shared" si="11"/>
        <v>773.60999999999967</v>
      </c>
      <c r="N379" t="str">
        <v>High</v>
      </c>
      <c r="O379" t="s">
        <v>65</v>
      </c>
    </row>
    <row r="380" spans="1:15" x14ac:dyDescent="0.3">
      <c r="A380" t="s">
        <v>418</v>
      </c>
      <c r="B380" s="1">
        <v>45671</v>
      </c>
      <c r="C380" t="s">
        <v>1209</v>
      </c>
      <c r="D380" t="s">
        <v>1255</v>
      </c>
      <c r="E380" t="s">
        <v>59</v>
      </c>
      <c r="F380" t="s">
        <v>1323</v>
      </c>
      <c r="G380" t="s">
        <v>60</v>
      </c>
      <c r="H380" t="s">
        <v>51</v>
      </c>
      <c r="I380">
        <v>6</v>
      </c>
      <c r="J380" s="24">
        <v>200.51</v>
      </c>
      <c r="K380" s="24">
        <f t="shared" si="10"/>
        <v>1203.06</v>
      </c>
      <c r="L380" s="24">
        <v>1490.91</v>
      </c>
      <c r="M380" s="2">
        <f t="shared" si="11"/>
        <v>287.85000000000014</v>
      </c>
      <c r="N380" t="str">
        <v>Low</v>
      </c>
      <c r="O380" t="s">
        <v>63</v>
      </c>
    </row>
    <row r="381" spans="1:15" x14ac:dyDescent="0.3">
      <c r="A381" t="s">
        <v>419</v>
      </c>
      <c r="B381" s="1">
        <v>45672</v>
      </c>
      <c r="C381" t="s">
        <v>1161</v>
      </c>
      <c r="D381" t="s">
        <v>73</v>
      </c>
      <c r="E381" t="s">
        <v>1252</v>
      </c>
      <c r="F381" t="s">
        <v>1317</v>
      </c>
      <c r="G381" t="s">
        <v>60</v>
      </c>
      <c r="H381" t="s">
        <v>52</v>
      </c>
      <c r="I381">
        <v>8</v>
      </c>
      <c r="J381" s="24">
        <v>257.25</v>
      </c>
      <c r="K381" s="24">
        <f t="shared" si="10"/>
        <v>2058</v>
      </c>
      <c r="L381" s="24">
        <v>2682.44</v>
      </c>
      <c r="M381" s="2">
        <f t="shared" si="11"/>
        <v>624.44000000000005</v>
      </c>
      <c r="N381" t="str">
        <v>High</v>
      </c>
      <c r="O381" t="s">
        <v>63</v>
      </c>
    </row>
    <row r="382" spans="1:15" x14ac:dyDescent="0.3">
      <c r="A382" t="s">
        <v>420</v>
      </c>
      <c r="B382" s="1">
        <v>45673</v>
      </c>
      <c r="C382" t="s">
        <v>1127</v>
      </c>
      <c r="D382" t="s">
        <v>71</v>
      </c>
      <c r="E382" t="s">
        <v>1240</v>
      </c>
      <c r="F382" t="s">
        <v>1333</v>
      </c>
      <c r="G382" t="s">
        <v>60</v>
      </c>
      <c r="H382" t="s">
        <v>52</v>
      </c>
      <c r="I382">
        <v>1</v>
      </c>
      <c r="J382" s="24">
        <v>317.52999999999997</v>
      </c>
      <c r="K382" s="24">
        <f t="shared" si="10"/>
        <v>317.52999999999997</v>
      </c>
      <c r="L382" s="24">
        <v>463.18</v>
      </c>
      <c r="M382" s="2">
        <f t="shared" si="11"/>
        <v>145.65000000000003</v>
      </c>
      <c r="N382" t="str">
        <v>Low</v>
      </c>
      <c r="O382" t="s">
        <v>65</v>
      </c>
    </row>
    <row r="383" spans="1:15" x14ac:dyDescent="0.3">
      <c r="A383" t="s">
        <v>421</v>
      </c>
      <c r="B383" s="1">
        <v>45674</v>
      </c>
      <c r="C383" t="s">
        <v>1210</v>
      </c>
      <c r="D383" t="s">
        <v>72</v>
      </c>
      <c r="E383" t="s">
        <v>1245</v>
      </c>
      <c r="F383" t="s">
        <v>1305</v>
      </c>
      <c r="G383" t="s">
        <v>60</v>
      </c>
      <c r="H383" t="s">
        <v>52</v>
      </c>
      <c r="I383">
        <v>3</v>
      </c>
      <c r="J383" s="24">
        <v>175.53</v>
      </c>
      <c r="K383" s="24">
        <f t="shared" si="10"/>
        <v>526.59</v>
      </c>
      <c r="L383" s="24">
        <v>696.07</v>
      </c>
      <c r="M383" s="2">
        <f t="shared" si="11"/>
        <v>169.48000000000002</v>
      </c>
      <c r="N383" t="str">
        <v>Low</v>
      </c>
      <c r="O383" t="s">
        <v>65</v>
      </c>
    </row>
    <row r="384" spans="1:15" x14ac:dyDescent="0.3">
      <c r="A384" t="s">
        <v>422</v>
      </c>
      <c r="B384" s="1">
        <v>45675</v>
      </c>
      <c r="C384" t="s">
        <v>1103</v>
      </c>
      <c r="D384" t="s">
        <v>73</v>
      </c>
      <c r="E384" t="s">
        <v>1243</v>
      </c>
      <c r="F384" t="s">
        <v>1290</v>
      </c>
      <c r="G384" t="s">
        <v>60</v>
      </c>
      <c r="H384" t="s">
        <v>52</v>
      </c>
      <c r="I384">
        <v>2</v>
      </c>
      <c r="J384" s="24">
        <v>466.74</v>
      </c>
      <c r="K384" s="24">
        <f t="shared" si="10"/>
        <v>933.48</v>
      </c>
      <c r="L384" s="24">
        <v>1398.27</v>
      </c>
      <c r="M384" s="2">
        <f t="shared" si="11"/>
        <v>464.78999999999996</v>
      </c>
      <c r="N384" t="str">
        <v>Low</v>
      </c>
      <c r="O384" t="s">
        <v>65</v>
      </c>
    </row>
    <row r="385" spans="1:15" x14ac:dyDescent="0.3">
      <c r="A385" t="s">
        <v>423</v>
      </c>
      <c r="B385" s="1">
        <v>45676</v>
      </c>
      <c r="C385" t="s">
        <v>1179</v>
      </c>
      <c r="D385" t="s">
        <v>72</v>
      </c>
      <c r="E385" t="s">
        <v>1242</v>
      </c>
      <c r="F385" t="s">
        <v>1259</v>
      </c>
      <c r="G385" t="s">
        <v>60</v>
      </c>
      <c r="H385" t="s">
        <v>53</v>
      </c>
      <c r="I385">
        <v>4</v>
      </c>
      <c r="J385" s="24">
        <v>363.65</v>
      </c>
      <c r="K385" s="24">
        <f t="shared" si="10"/>
        <v>1454.6</v>
      </c>
      <c r="L385" s="24">
        <v>1613.17</v>
      </c>
      <c r="M385" s="2">
        <f t="shared" si="11"/>
        <v>158.57000000000016</v>
      </c>
      <c r="N385" t="str">
        <v>Low</v>
      </c>
      <c r="O385" t="s">
        <v>64</v>
      </c>
    </row>
    <row r="386" spans="1:15" x14ac:dyDescent="0.3">
      <c r="A386" t="s">
        <v>424</v>
      </c>
      <c r="B386" s="1">
        <v>45677</v>
      </c>
      <c r="C386" t="s">
        <v>1069</v>
      </c>
      <c r="D386" t="s">
        <v>73</v>
      </c>
      <c r="E386" t="s">
        <v>1243</v>
      </c>
      <c r="F386" t="s">
        <v>1290</v>
      </c>
      <c r="G386" t="s">
        <v>60</v>
      </c>
      <c r="H386" t="s">
        <v>52</v>
      </c>
      <c r="I386">
        <v>10</v>
      </c>
      <c r="J386" s="24">
        <v>342.48</v>
      </c>
      <c r="K386" s="24">
        <f t="shared" si="10"/>
        <v>3424.8</v>
      </c>
      <c r="L386" s="24">
        <v>4449.72</v>
      </c>
      <c r="M386" s="2">
        <f t="shared" si="11"/>
        <v>1024.92</v>
      </c>
      <c r="N386" t="str">
        <v>High</v>
      </c>
      <c r="O386" t="s">
        <v>65</v>
      </c>
    </row>
    <row r="387" spans="1:15" x14ac:dyDescent="0.3">
      <c r="A387" t="s">
        <v>425</v>
      </c>
      <c r="B387" s="1">
        <v>45678</v>
      </c>
      <c r="C387" t="s">
        <v>1197</v>
      </c>
      <c r="D387" t="s">
        <v>74</v>
      </c>
      <c r="E387" t="s">
        <v>1244</v>
      </c>
      <c r="F387" t="s">
        <v>1314</v>
      </c>
      <c r="G387" t="s">
        <v>60</v>
      </c>
      <c r="H387" t="s">
        <v>54</v>
      </c>
      <c r="I387">
        <v>4</v>
      </c>
      <c r="J387" s="24">
        <v>79.239999999999995</v>
      </c>
      <c r="K387" s="24">
        <f t="shared" ref="K387:K450" si="12">J387*I387</f>
        <v>316.95999999999998</v>
      </c>
      <c r="L387" s="24">
        <v>395.99</v>
      </c>
      <c r="M387" s="2">
        <f t="shared" ref="M387:M450" si="13">L387-K387</f>
        <v>79.03000000000003</v>
      </c>
      <c r="N387" t="str">
        <v>Low</v>
      </c>
      <c r="O387" t="s">
        <v>63</v>
      </c>
    </row>
    <row r="388" spans="1:15" x14ac:dyDescent="0.3">
      <c r="A388" t="s">
        <v>426</v>
      </c>
      <c r="B388" s="1">
        <v>45679</v>
      </c>
      <c r="C388" t="s">
        <v>1111</v>
      </c>
      <c r="D388" t="s">
        <v>72</v>
      </c>
      <c r="E388" t="s">
        <v>1246</v>
      </c>
      <c r="F388" t="s">
        <v>1267</v>
      </c>
      <c r="G388" t="s">
        <v>60</v>
      </c>
      <c r="H388" t="s">
        <v>51</v>
      </c>
      <c r="I388">
        <v>8</v>
      </c>
      <c r="J388" s="24">
        <v>306.26</v>
      </c>
      <c r="K388" s="24">
        <f t="shared" si="12"/>
        <v>2450.08</v>
      </c>
      <c r="L388" s="24">
        <v>2752.3</v>
      </c>
      <c r="M388" s="2">
        <f t="shared" si="13"/>
        <v>302.22000000000025</v>
      </c>
      <c r="N388" t="str">
        <v>High</v>
      </c>
      <c r="O388" t="s">
        <v>64</v>
      </c>
    </row>
    <row r="389" spans="1:15" x14ac:dyDescent="0.3">
      <c r="A389" t="s">
        <v>427</v>
      </c>
      <c r="B389" s="1">
        <v>45680</v>
      </c>
      <c r="C389" t="s">
        <v>1089</v>
      </c>
      <c r="D389" t="s">
        <v>71</v>
      </c>
      <c r="E389" t="s">
        <v>1254</v>
      </c>
      <c r="F389" t="s">
        <v>1322</v>
      </c>
      <c r="G389" t="s">
        <v>60</v>
      </c>
      <c r="H389" t="s">
        <v>54</v>
      </c>
      <c r="I389">
        <v>10</v>
      </c>
      <c r="J389" s="24">
        <v>113.35</v>
      </c>
      <c r="K389" s="24">
        <f t="shared" si="12"/>
        <v>1133.5</v>
      </c>
      <c r="L389" s="24">
        <v>1324.95</v>
      </c>
      <c r="M389" s="2">
        <f t="shared" si="13"/>
        <v>191.45000000000005</v>
      </c>
      <c r="N389" t="str">
        <v>Low</v>
      </c>
      <c r="O389" t="s">
        <v>63</v>
      </c>
    </row>
    <row r="390" spans="1:15" x14ac:dyDescent="0.3">
      <c r="A390" t="s">
        <v>428</v>
      </c>
      <c r="B390" s="1">
        <v>45681</v>
      </c>
      <c r="C390" t="s">
        <v>1211</v>
      </c>
      <c r="D390" t="s">
        <v>73</v>
      </c>
      <c r="E390" t="s">
        <v>1252</v>
      </c>
      <c r="F390" t="s">
        <v>1278</v>
      </c>
      <c r="G390" t="s">
        <v>60</v>
      </c>
      <c r="H390" t="s">
        <v>52</v>
      </c>
      <c r="I390">
        <v>6</v>
      </c>
      <c r="J390" s="24">
        <v>320.48</v>
      </c>
      <c r="K390" s="24">
        <f t="shared" si="12"/>
        <v>1922.88</v>
      </c>
      <c r="L390" s="24">
        <v>2245.71</v>
      </c>
      <c r="M390" s="2">
        <f t="shared" si="13"/>
        <v>322.82999999999993</v>
      </c>
      <c r="N390" t="str">
        <v>High</v>
      </c>
      <c r="O390" t="s">
        <v>64</v>
      </c>
    </row>
    <row r="391" spans="1:15" x14ac:dyDescent="0.3">
      <c r="A391" t="s">
        <v>429</v>
      </c>
      <c r="B391" s="1">
        <v>45682</v>
      </c>
      <c r="C391" t="s">
        <v>1071</v>
      </c>
      <c r="D391" t="s">
        <v>71</v>
      </c>
      <c r="E391" t="s">
        <v>1251</v>
      </c>
      <c r="F391" t="s">
        <v>1326</v>
      </c>
      <c r="G391" t="s">
        <v>60</v>
      </c>
      <c r="H391" t="s">
        <v>51</v>
      </c>
      <c r="I391">
        <v>1</v>
      </c>
      <c r="J391" s="24">
        <v>76.31</v>
      </c>
      <c r="K391" s="24">
        <f t="shared" si="12"/>
        <v>76.31</v>
      </c>
      <c r="L391" s="24">
        <v>100.67</v>
      </c>
      <c r="M391" s="2">
        <f t="shared" si="13"/>
        <v>24.36</v>
      </c>
      <c r="N391" t="str">
        <v>Low</v>
      </c>
      <c r="O391" t="s">
        <v>65</v>
      </c>
    </row>
    <row r="392" spans="1:15" x14ac:dyDescent="0.3">
      <c r="A392" t="s">
        <v>430</v>
      </c>
      <c r="B392" s="1">
        <v>45683</v>
      </c>
      <c r="C392" t="s">
        <v>1064</v>
      </c>
      <c r="D392" t="s">
        <v>72</v>
      </c>
      <c r="E392" t="s">
        <v>1246</v>
      </c>
      <c r="F392" t="s">
        <v>1300</v>
      </c>
      <c r="G392" t="s">
        <v>60</v>
      </c>
      <c r="H392" t="s">
        <v>54</v>
      </c>
      <c r="I392">
        <v>3</v>
      </c>
      <c r="J392" s="24">
        <v>455.37</v>
      </c>
      <c r="K392" s="24">
        <f t="shared" si="12"/>
        <v>1366.1100000000001</v>
      </c>
      <c r="L392" s="24">
        <v>1701.94</v>
      </c>
      <c r="M392" s="2">
        <f t="shared" si="13"/>
        <v>335.82999999999993</v>
      </c>
      <c r="N392" t="str">
        <v>Low</v>
      </c>
      <c r="O392" t="s">
        <v>64</v>
      </c>
    </row>
    <row r="393" spans="1:15" x14ac:dyDescent="0.3">
      <c r="A393" t="s">
        <v>431</v>
      </c>
      <c r="B393" s="1">
        <v>45684</v>
      </c>
      <c r="C393" t="s">
        <v>1105</v>
      </c>
      <c r="D393" t="s">
        <v>72</v>
      </c>
      <c r="E393" t="s">
        <v>1242</v>
      </c>
      <c r="F393" t="s">
        <v>1288</v>
      </c>
      <c r="G393" t="s">
        <v>60</v>
      </c>
      <c r="H393" t="s">
        <v>53</v>
      </c>
      <c r="I393">
        <v>9</v>
      </c>
      <c r="J393" s="24">
        <v>202.92</v>
      </c>
      <c r="K393" s="24">
        <f t="shared" si="12"/>
        <v>1826.28</v>
      </c>
      <c r="L393" s="24">
        <v>2387.88</v>
      </c>
      <c r="M393" s="2">
        <f t="shared" si="13"/>
        <v>561.60000000000014</v>
      </c>
      <c r="N393" t="str">
        <v>High</v>
      </c>
      <c r="O393" t="s">
        <v>65</v>
      </c>
    </row>
    <row r="394" spans="1:15" x14ac:dyDescent="0.3">
      <c r="A394" t="s">
        <v>432</v>
      </c>
      <c r="B394" s="1">
        <v>45685</v>
      </c>
      <c r="C394" t="s">
        <v>1212</v>
      </c>
      <c r="D394" t="s">
        <v>72</v>
      </c>
      <c r="E394" t="s">
        <v>1245</v>
      </c>
      <c r="F394" t="s">
        <v>1328</v>
      </c>
      <c r="G394" t="s">
        <v>60</v>
      </c>
      <c r="H394" t="s">
        <v>51</v>
      </c>
      <c r="I394">
        <v>9</v>
      </c>
      <c r="J394" s="24">
        <v>124.58</v>
      </c>
      <c r="K394" s="24">
        <f t="shared" si="12"/>
        <v>1121.22</v>
      </c>
      <c r="L394" s="24">
        <v>1366.56</v>
      </c>
      <c r="M394" s="2">
        <f t="shared" si="13"/>
        <v>245.33999999999992</v>
      </c>
      <c r="N394" t="str">
        <v>Low</v>
      </c>
      <c r="O394" t="s">
        <v>64</v>
      </c>
    </row>
    <row r="395" spans="1:15" x14ac:dyDescent="0.3">
      <c r="A395" t="s">
        <v>433</v>
      </c>
      <c r="B395" s="1">
        <v>45686</v>
      </c>
      <c r="C395" t="s">
        <v>1143</v>
      </c>
      <c r="D395" t="s">
        <v>71</v>
      </c>
      <c r="E395" t="s">
        <v>1240</v>
      </c>
      <c r="F395" t="s">
        <v>1260</v>
      </c>
      <c r="G395" t="s">
        <v>60</v>
      </c>
      <c r="H395" t="s">
        <v>53</v>
      </c>
      <c r="I395">
        <v>1</v>
      </c>
      <c r="J395" s="24">
        <v>358.1</v>
      </c>
      <c r="K395" s="24">
        <f t="shared" si="12"/>
        <v>358.1</v>
      </c>
      <c r="L395" s="24">
        <v>442.06</v>
      </c>
      <c r="M395" s="2">
        <f t="shared" si="13"/>
        <v>83.95999999999998</v>
      </c>
      <c r="N395" t="str">
        <v>Low</v>
      </c>
      <c r="O395" t="s">
        <v>65</v>
      </c>
    </row>
    <row r="396" spans="1:15" x14ac:dyDescent="0.3">
      <c r="A396" t="s">
        <v>434</v>
      </c>
      <c r="B396" s="1">
        <v>45687</v>
      </c>
      <c r="C396" t="s">
        <v>1137</v>
      </c>
      <c r="D396" t="s">
        <v>72</v>
      </c>
      <c r="E396" t="s">
        <v>1242</v>
      </c>
      <c r="F396" t="s">
        <v>1259</v>
      </c>
      <c r="G396" t="s">
        <v>60</v>
      </c>
      <c r="H396" t="s">
        <v>51</v>
      </c>
      <c r="I396">
        <v>5</v>
      </c>
      <c r="J396" s="24">
        <v>478.46</v>
      </c>
      <c r="K396" s="24">
        <f t="shared" si="12"/>
        <v>2392.2999999999997</v>
      </c>
      <c r="L396" s="24">
        <v>3040</v>
      </c>
      <c r="M396" s="2">
        <f t="shared" si="13"/>
        <v>647.70000000000027</v>
      </c>
      <c r="N396" t="str">
        <v>High</v>
      </c>
      <c r="O396" t="s">
        <v>65</v>
      </c>
    </row>
    <row r="397" spans="1:15" x14ac:dyDescent="0.3">
      <c r="A397" t="s">
        <v>435</v>
      </c>
      <c r="B397" s="1">
        <v>45688</v>
      </c>
      <c r="C397" t="s">
        <v>1134</v>
      </c>
      <c r="D397" t="s">
        <v>71</v>
      </c>
      <c r="E397" t="s">
        <v>1241</v>
      </c>
      <c r="F397" t="s">
        <v>57</v>
      </c>
      <c r="G397" t="s">
        <v>60</v>
      </c>
      <c r="H397" t="s">
        <v>51</v>
      </c>
      <c r="I397">
        <v>2</v>
      </c>
      <c r="J397" s="24">
        <v>497.68</v>
      </c>
      <c r="K397" s="24">
        <f t="shared" si="12"/>
        <v>995.36</v>
      </c>
      <c r="L397" s="24">
        <v>1206.55</v>
      </c>
      <c r="M397" s="2">
        <f t="shared" si="13"/>
        <v>211.18999999999994</v>
      </c>
      <c r="N397" t="str">
        <v>Low</v>
      </c>
      <c r="O397" t="s">
        <v>64</v>
      </c>
    </row>
    <row r="398" spans="1:15" x14ac:dyDescent="0.3">
      <c r="A398" t="s">
        <v>436</v>
      </c>
      <c r="B398" s="1">
        <v>45689</v>
      </c>
      <c r="C398" t="s">
        <v>1138</v>
      </c>
      <c r="D398" t="s">
        <v>73</v>
      </c>
      <c r="E398" t="s">
        <v>1243</v>
      </c>
      <c r="F398" t="s">
        <v>1303</v>
      </c>
      <c r="G398" t="s">
        <v>60</v>
      </c>
      <c r="H398" t="s">
        <v>54</v>
      </c>
      <c r="I398">
        <v>10</v>
      </c>
      <c r="J398" s="24">
        <v>209.64</v>
      </c>
      <c r="K398" s="24">
        <f t="shared" si="12"/>
        <v>2096.3999999999996</v>
      </c>
      <c r="L398" s="24">
        <v>2776.45</v>
      </c>
      <c r="M398" s="2">
        <f t="shared" si="13"/>
        <v>680.05000000000018</v>
      </c>
      <c r="N398" t="str">
        <v>High</v>
      </c>
      <c r="O398" t="s">
        <v>64</v>
      </c>
    </row>
    <row r="399" spans="1:15" x14ac:dyDescent="0.3">
      <c r="A399" t="s">
        <v>437</v>
      </c>
      <c r="B399" s="1">
        <v>45690</v>
      </c>
      <c r="C399" t="s">
        <v>1141</v>
      </c>
      <c r="D399" t="s">
        <v>74</v>
      </c>
      <c r="E399" t="s">
        <v>1247</v>
      </c>
      <c r="F399" t="s">
        <v>1283</v>
      </c>
      <c r="G399" t="s">
        <v>60</v>
      </c>
      <c r="H399" t="s">
        <v>53</v>
      </c>
      <c r="I399">
        <v>5</v>
      </c>
      <c r="J399" s="24">
        <v>30.42</v>
      </c>
      <c r="K399" s="24">
        <f t="shared" si="12"/>
        <v>152.10000000000002</v>
      </c>
      <c r="L399" s="24">
        <v>199.91</v>
      </c>
      <c r="M399" s="2">
        <f t="shared" si="13"/>
        <v>47.809999999999974</v>
      </c>
      <c r="N399" t="str">
        <v>Low</v>
      </c>
      <c r="O399" t="s">
        <v>65</v>
      </c>
    </row>
    <row r="400" spans="1:15" x14ac:dyDescent="0.3">
      <c r="A400" t="s">
        <v>438</v>
      </c>
      <c r="B400" s="1">
        <v>45691</v>
      </c>
      <c r="C400" t="s">
        <v>1154</v>
      </c>
      <c r="D400" t="s">
        <v>71</v>
      </c>
      <c r="E400" t="s">
        <v>1251</v>
      </c>
      <c r="F400" t="s">
        <v>1315</v>
      </c>
      <c r="G400" t="s">
        <v>60</v>
      </c>
      <c r="H400" t="s">
        <v>54</v>
      </c>
      <c r="I400">
        <v>7</v>
      </c>
      <c r="J400" s="24">
        <v>438.69</v>
      </c>
      <c r="K400" s="24">
        <f t="shared" si="12"/>
        <v>3070.83</v>
      </c>
      <c r="L400" s="24">
        <v>4460.8100000000004</v>
      </c>
      <c r="M400" s="2">
        <f t="shared" si="13"/>
        <v>1389.9800000000005</v>
      </c>
      <c r="N400" t="str">
        <v>High</v>
      </c>
      <c r="O400" t="s">
        <v>64</v>
      </c>
    </row>
    <row r="401" spans="1:15" x14ac:dyDescent="0.3">
      <c r="A401" t="s">
        <v>439</v>
      </c>
      <c r="B401" s="1">
        <v>45692</v>
      </c>
      <c r="C401" t="s">
        <v>1073</v>
      </c>
      <c r="D401" t="s">
        <v>71</v>
      </c>
      <c r="E401" t="s">
        <v>1240</v>
      </c>
      <c r="F401" t="s">
        <v>1275</v>
      </c>
      <c r="G401" t="s">
        <v>60</v>
      </c>
      <c r="H401" t="s">
        <v>54</v>
      </c>
      <c r="I401">
        <v>5</v>
      </c>
      <c r="J401" s="24">
        <v>132.04</v>
      </c>
      <c r="K401" s="24">
        <f t="shared" si="12"/>
        <v>660.19999999999993</v>
      </c>
      <c r="L401" s="24">
        <v>868.43</v>
      </c>
      <c r="M401" s="2">
        <f t="shared" si="13"/>
        <v>208.23000000000002</v>
      </c>
      <c r="N401" t="str">
        <v>Low</v>
      </c>
      <c r="O401" t="s">
        <v>63</v>
      </c>
    </row>
    <row r="402" spans="1:15" x14ac:dyDescent="0.3">
      <c r="A402" t="s">
        <v>440</v>
      </c>
      <c r="B402" s="1">
        <v>45693</v>
      </c>
      <c r="C402" t="s">
        <v>1160</v>
      </c>
      <c r="D402" t="s">
        <v>71</v>
      </c>
      <c r="E402" t="s">
        <v>1251</v>
      </c>
      <c r="F402" t="s">
        <v>1315</v>
      </c>
      <c r="G402" t="s">
        <v>60</v>
      </c>
      <c r="H402" t="s">
        <v>54</v>
      </c>
      <c r="I402">
        <v>8</v>
      </c>
      <c r="J402" s="24">
        <v>272.05</v>
      </c>
      <c r="K402" s="24">
        <f t="shared" si="12"/>
        <v>2176.4</v>
      </c>
      <c r="L402" s="24">
        <v>2797.41</v>
      </c>
      <c r="M402" s="2">
        <f t="shared" si="13"/>
        <v>621.00999999999976</v>
      </c>
      <c r="N402" t="str">
        <v>High</v>
      </c>
      <c r="O402" t="s">
        <v>63</v>
      </c>
    </row>
    <row r="403" spans="1:15" x14ac:dyDescent="0.3">
      <c r="A403" t="s">
        <v>441</v>
      </c>
      <c r="B403" s="1">
        <v>45694</v>
      </c>
      <c r="C403" t="s">
        <v>1099</v>
      </c>
      <c r="D403" t="s">
        <v>71</v>
      </c>
      <c r="E403" t="s">
        <v>1241</v>
      </c>
      <c r="F403" t="s">
        <v>1287</v>
      </c>
      <c r="G403" t="s">
        <v>60</v>
      </c>
      <c r="H403" t="s">
        <v>51</v>
      </c>
      <c r="I403">
        <v>5</v>
      </c>
      <c r="J403" s="24">
        <v>486.28</v>
      </c>
      <c r="K403" s="24">
        <f t="shared" si="12"/>
        <v>2431.3999999999996</v>
      </c>
      <c r="L403" s="24">
        <v>3390.6</v>
      </c>
      <c r="M403" s="2">
        <f t="shared" si="13"/>
        <v>959.20000000000027</v>
      </c>
      <c r="N403" t="str">
        <v>High</v>
      </c>
      <c r="O403" t="s">
        <v>65</v>
      </c>
    </row>
    <row r="404" spans="1:15" x14ac:dyDescent="0.3">
      <c r="A404" t="s">
        <v>442</v>
      </c>
      <c r="B404" s="1">
        <v>45695</v>
      </c>
      <c r="C404" t="s">
        <v>1053</v>
      </c>
      <c r="D404" t="s">
        <v>71</v>
      </c>
      <c r="E404" t="s">
        <v>1254</v>
      </c>
      <c r="F404" t="s">
        <v>1292</v>
      </c>
      <c r="G404" t="s">
        <v>60</v>
      </c>
      <c r="H404" t="s">
        <v>52</v>
      </c>
      <c r="I404">
        <v>6</v>
      </c>
      <c r="J404" s="24">
        <v>181.47</v>
      </c>
      <c r="K404" s="24">
        <f t="shared" si="12"/>
        <v>1088.82</v>
      </c>
      <c r="L404" s="24">
        <v>1430.5</v>
      </c>
      <c r="M404" s="2">
        <f t="shared" si="13"/>
        <v>341.68000000000006</v>
      </c>
      <c r="N404" t="str">
        <v>Low</v>
      </c>
      <c r="O404" t="s">
        <v>64</v>
      </c>
    </row>
    <row r="405" spans="1:15" x14ac:dyDescent="0.3">
      <c r="A405" t="s">
        <v>443</v>
      </c>
      <c r="B405" s="1">
        <v>45696</v>
      </c>
      <c r="C405" t="s">
        <v>1151</v>
      </c>
      <c r="D405" t="s">
        <v>73</v>
      </c>
      <c r="E405" t="s">
        <v>1243</v>
      </c>
      <c r="F405" t="s">
        <v>1261</v>
      </c>
      <c r="G405" t="s">
        <v>60</v>
      </c>
      <c r="H405" t="s">
        <v>52</v>
      </c>
      <c r="I405">
        <v>1</v>
      </c>
      <c r="J405" s="24">
        <v>102.34</v>
      </c>
      <c r="K405" s="24">
        <f t="shared" si="12"/>
        <v>102.34</v>
      </c>
      <c r="L405" s="24">
        <v>138.44</v>
      </c>
      <c r="M405" s="2">
        <f t="shared" si="13"/>
        <v>36.099999999999994</v>
      </c>
      <c r="N405" t="str">
        <v>Low</v>
      </c>
      <c r="O405" t="s">
        <v>65</v>
      </c>
    </row>
    <row r="406" spans="1:15" x14ac:dyDescent="0.3">
      <c r="A406" t="s">
        <v>444</v>
      </c>
      <c r="B406" s="1">
        <v>45697</v>
      </c>
      <c r="C406" t="s">
        <v>1073</v>
      </c>
      <c r="D406" t="s">
        <v>73</v>
      </c>
      <c r="E406" t="s">
        <v>1252</v>
      </c>
      <c r="F406" t="s">
        <v>1311</v>
      </c>
      <c r="G406" t="s">
        <v>60</v>
      </c>
      <c r="H406" t="s">
        <v>53</v>
      </c>
      <c r="I406">
        <v>6</v>
      </c>
      <c r="J406" s="24">
        <v>154.41</v>
      </c>
      <c r="K406" s="24">
        <f t="shared" si="12"/>
        <v>926.46</v>
      </c>
      <c r="L406" s="24">
        <v>1178.8800000000001</v>
      </c>
      <c r="M406" s="2">
        <f t="shared" si="13"/>
        <v>252.42000000000007</v>
      </c>
      <c r="N406" t="str">
        <v>Low</v>
      </c>
      <c r="O406" t="s">
        <v>64</v>
      </c>
    </row>
    <row r="407" spans="1:15" x14ac:dyDescent="0.3">
      <c r="A407" t="s">
        <v>445</v>
      </c>
      <c r="B407" s="1">
        <v>45698</v>
      </c>
      <c r="C407" t="s">
        <v>1108</v>
      </c>
      <c r="D407" t="s">
        <v>71</v>
      </c>
      <c r="E407" t="s">
        <v>1248</v>
      </c>
      <c r="F407" t="s">
        <v>1329</v>
      </c>
      <c r="G407" t="s">
        <v>60</v>
      </c>
      <c r="H407" t="s">
        <v>52</v>
      </c>
      <c r="I407">
        <v>1</v>
      </c>
      <c r="J407" s="24">
        <v>203.92</v>
      </c>
      <c r="K407" s="24">
        <f t="shared" si="12"/>
        <v>203.92</v>
      </c>
      <c r="L407" s="24">
        <v>268.04000000000002</v>
      </c>
      <c r="M407" s="2">
        <f t="shared" si="13"/>
        <v>64.120000000000033</v>
      </c>
      <c r="N407" t="str">
        <v>Low</v>
      </c>
      <c r="O407" t="s">
        <v>65</v>
      </c>
    </row>
    <row r="408" spans="1:15" x14ac:dyDescent="0.3">
      <c r="A408" t="s">
        <v>446</v>
      </c>
      <c r="B408" s="1">
        <v>45699</v>
      </c>
      <c r="C408" t="s">
        <v>1045</v>
      </c>
      <c r="D408" t="s">
        <v>71</v>
      </c>
      <c r="E408" t="s">
        <v>1241</v>
      </c>
      <c r="F408" t="s">
        <v>56</v>
      </c>
      <c r="G408" t="s">
        <v>60</v>
      </c>
      <c r="H408" t="s">
        <v>53</v>
      </c>
      <c r="I408">
        <v>8</v>
      </c>
      <c r="J408" s="24">
        <v>193.36</v>
      </c>
      <c r="K408" s="24">
        <f t="shared" si="12"/>
        <v>1546.88</v>
      </c>
      <c r="L408" s="24">
        <v>2198.69</v>
      </c>
      <c r="M408" s="2">
        <f t="shared" si="13"/>
        <v>651.80999999999995</v>
      </c>
      <c r="N408" t="str">
        <v>High</v>
      </c>
      <c r="O408" t="s">
        <v>63</v>
      </c>
    </row>
    <row r="409" spans="1:15" x14ac:dyDescent="0.3">
      <c r="A409" t="s">
        <v>447</v>
      </c>
      <c r="B409" s="1">
        <v>45700</v>
      </c>
      <c r="C409" t="s">
        <v>1173</v>
      </c>
      <c r="D409" t="s">
        <v>73</v>
      </c>
      <c r="E409" t="s">
        <v>1243</v>
      </c>
      <c r="F409" t="s">
        <v>1290</v>
      </c>
      <c r="G409" t="s">
        <v>60</v>
      </c>
      <c r="H409" t="s">
        <v>51</v>
      </c>
      <c r="I409">
        <v>10</v>
      </c>
      <c r="J409" s="24">
        <v>323.57</v>
      </c>
      <c r="K409" s="24">
        <f t="shared" si="12"/>
        <v>3235.7</v>
      </c>
      <c r="L409" s="24">
        <v>4047.23</v>
      </c>
      <c r="M409" s="2">
        <f t="shared" si="13"/>
        <v>811.5300000000002</v>
      </c>
      <c r="N409" t="str">
        <v>High</v>
      </c>
      <c r="O409" t="s">
        <v>63</v>
      </c>
    </row>
    <row r="410" spans="1:15" x14ac:dyDescent="0.3">
      <c r="A410" t="s">
        <v>448</v>
      </c>
      <c r="B410" s="1">
        <v>45701</v>
      </c>
      <c r="C410" t="s">
        <v>1067</v>
      </c>
      <c r="D410" t="s">
        <v>74</v>
      </c>
      <c r="E410" t="s">
        <v>1244</v>
      </c>
      <c r="F410" t="s">
        <v>1330</v>
      </c>
      <c r="G410" t="s">
        <v>60</v>
      </c>
      <c r="H410" t="s">
        <v>52</v>
      </c>
      <c r="I410">
        <v>4</v>
      </c>
      <c r="J410" s="24">
        <v>112.74</v>
      </c>
      <c r="K410" s="24">
        <f t="shared" si="12"/>
        <v>450.96</v>
      </c>
      <c r="L410" s="24">
        <v>551.51</v>
      </c>
      <c r="M410" s="2">
        <f t="shared" si="13"/>
        <v>100.55000000000001</v>
      </c>
      <c r="N410" t="str">
        <v>Low</v>
      </c>
      <c r="O410" t="s">
        <v>63</v>
      </c>
    </row>
    <row r="411" spans="1:15" x14ac:dyDescent="0.3">
      <c r="A411" t="s">
        <v>449</v>
      </c>
      <c r="B411" s="1">
        <v>45702</v>
      </c>
      <c r="C411" t="s">
        <v>1090</v>
      </c>
      <c r="D411" t="s">
        <v>73</v>
      </c>
      <c r="E411" t="s">
        <v>1252</v>
      </c>
      <c r="F411" t="s">
        <v>1278</v>
      </c>
      <c r="G411" t="s">
        <v>60</v>
      </c>
      <c r="H411" t="s">
        <v>54</v>
      </c>
      <c r="I411">
        <v>8</v>
      </c>
      <c r="J411" s="24">
        <v>269.8</v>
      </c>
      <c r="K411" s="24">
        <f t="shared" si="12"/>
        <v>2158.4</v>
      </c>
      <c r="L411" s="24">
        <v>2605.1799999999998</v>
      </c>
      <c r="M411" s="2">
        <f t="shared" si="13"/>
        <v>446.77999999999975</v>
      </c>
      <c r="N411" t="str">
        <v>High</v>
      </c>
      <c r="O411" t="s">
        <v>64</v>
      </c>
    </row>
    <row r="412" spans="1:15" x14ac:dyDescent="0.3">
      <c r="A412" t="s">
        <v>450</v>
      </c>
      <c r="B412" s="1">
        <v>45703</v>
      </c>
      <c r="C412" t="s">
        <v>1213</v>
      </c>
      <c r="D412" t="s">
        <v>71</v>
      </c>
      <c r="E412" t="s">
        <v>1254</v>
      </c>
      <c r="F412" t="s">
        <v>1304</v>
      </c>
      <c r="G412" t="s">
        <v>60</v>
      </c>
      <c r="H412" t="s">
        <v>51</v>
      </c>
      <c r="I412">
        <v>2</v>
      </c>
      <c r="J412" s="24">
        <v>233.28</v>
      </c>
      <c r="K412" s="24">
        <f t="shared" si="12"/>
        <v>466.56</v>
      </c>
      <c r="L412" s="24">
        <v>539.61</v>
      </c>
      <c r="M412" s="2">
        <f t="shared" si="13"/>
        <v>73.050000000000011</v>
      </c>
      <c r="N412" t="str">
        <v>Low</v>
      </c>
      <c r="O412" t="s">
        <v>64</v>
      </c>
    </row>
    <row r="413" spans="1:15" x14ac:dyDescent="0.3">
      <c r="A413" t="s">
        <v>451</v>
      </c>
      <c r="B413" s="1">
        <v>45704</v>
      </c>
      <c r="C413" t="s">
        <v>1166</v>
      </c>
      <c r="D413" t="s">
        <v>72</v>
      </c>
      <c r="E413" t="s">
        <v>1246</v>
      </c>
      <c r="F413" t="s">
        <v>1282</v>
      </c>
      <c r="G413" t="s">
        <v>60</v>
      </c>
      <c r="H413" t="s">
        <v>51</v>
      </c>
      <c r="I413">
        <v>1</v>
      </c>
      <c r="J413" s="24">
        <v>472.82</v>
      </c>
      <c r="K413" s="24">
        <f t="shared" si="12"/>
        <v>472.82</v>
      </c>
      <c r="L413" s="24">
        <v>531.1</v>
      </c>
      <c r="M413" s="2">
        <f t="shared" si="13"/>
        <v>58.28000000000003</v>
      </c>
      <c r="N413" t="str">
        <v>Low</v>
      </c>
      <c r="O413" t="s">
        <v>64</v>
      </c>
    </row>
    <row r="414" spans="1:15" x14ac:dyDescent="0.3">
      <c r="A414" t="s">
        <v>452</v>
      </c>
      <c r="B414" s="1">
        <v>45705</v>
      </c>
      <c r="C414" t="s">
        <v>1068</v>
      </c>
      <c r="D414" t="s">
        <v>74</v>
      </c>
      <c r="E414" t="s">
        <v>1247</v>
      </c>
      <c r="F414" t="s">
        <v>1285</v>
      </c>
      <c r="G414" t="s">
        <v>60</v>
      </c>
      <c r="H414" t="s">
        <v>51</v>
      </c>
      <c r="I414">
        <v>10</v>
      </c>
      <c r="J414" s="24">
        <v>148.99</v>
      </c>
      <c r="K414" s="24">
        <f t="shared" si="12"/>
        <v>1489.9</v>
      </c>
      <c r="L414" s="24">
        <v>1725.67</v>
      </c>
      <c r="M414" s="2">
        <f t="shared" si="13"/>
        <v>235.76999999999998</v>
      </c>
      <c r="N414" t="str">
        <v>Low</v>
      </c>
      <c r="O414" t="s">
        <v>65</v>
      </c>
    </row>
    <row r="415" spans="1:15" x14ac:dyDescent="0.3">
      <c r="A415" t="s">
        <v>453</v>
      </c>
      <c r="B415" s="1">
        <v>45706</v>
      </c>
      <c r="C415" t="s">
        <v>1140</v>
      </c>
      <c r="D415" t="s">
        <v>1255</v>
      </c>
      <c r="E415" t="s">
        <v>59</v>
      </c>
      <c r="F415" t="s">
        <v>1310</v>
      </c>
      <c r="G415" t="s">
        <v>60</v>
      </c>
      <c r="H415" t="s">
        <v>53</v>
      </c>
      <c r="I415">
        <v>5</v>
      </c>
      <c r="J415" s="24">
        <v>277.35000000000002</v>
      </c>
      <c r="K415" s="24">
        <f t="shared" si="12"/>
        <v>1386.75</v>
      </c>
      <c r="L415" s="24">
        <v>1943.69</v>
      </c>
      <c r="M415" s="2">
        <f t="shared" si="13"/>
        <v>556.94000000000005</v>
      </c>
      <c r="N415" t="str">
        <v>Low</v>
      </c>
      <c r="O415" t="s">
        <v>64</v>
      </c>
    </row>
    <row r="416" spans="1:15" x14ac:dyDescent="0.3">
      <c r="A416" t="s">
        <v>454</v>
      </c>
      <c r="B416" s="1">
        <v>45707</v>
      </c>
      <c r="C416" t="s">
        <v>1114</v>
      </c>
      <c r="D416" t="s">
        <v>73</v>
      </c>
      <c r="E416" t="s">
        <v>1243</v>
      </c>
      <c r="F416" t="s">
        <v>1272</v>
      </c>
      <c r="G416" t="s">
        <v>60</v>
      </c>
      <c r="H416" t="s">
        <v>51</v>
      </c>
      <c r="I416">
        <v>4</v>
      </c>
      <c r="J416" s="24">
        <v>303.87</v>
      </c>
      <c r="K416" s="24">
        <f t="shared" si="12"/>
        <v>1215.48</v>
      </c>
      <c r="L416" s="24">
        <v>1437.56</v>
      </c>
      <c r="M416" s="2">
        <f t="shared" si="13"/>
        <v>222.07999999999993</v>
      </c>
      <c r="N416" t="str">
        <v>Low</v>
      </c>
      <c r="O416" t="s">
        <v>65</v>
      </c>
    </row>
    <row r="417" spans="1:15" x14ac:dyDescent="0.3">
      <c r="A417" t="s">
        <v>455</v>
      </c>
      <c r="B417" s="1">
        <v>45708</v>
      </c>
      <c r="C417" t="s">
        <v>1127</v>
      </c>
      <c r="D417" t="s">
        <v>73</v>
      </c>
      <c r="E417" t="s">
        <v>1250</v>
      </c>
      <c r="F417" t="s">
        <v>1309</v>
      </c>
      <c r="G417" t="s">
        <v>60</v>
      </c>
      <c r="H417" t="s">
        <v>51</v>
      </c>
      <c r="I417">
        <v>1</v>
      </c>
      <c r="J417" s="24">
        <v>241.22</v>
      </c>
      <c r="K417" s="24">
        <f t="shared" si="12"/>
        <v>241.22</v>
      </c>
      <c r="L417" s="24">
        <v>350.05</v>
      </c>
      <c r="M417" s="2">
        <f t="shared" si="13"/>
        <v>108.83000000000001</v>
      </c>
      <c r="N417" t="str">
        <v>Low</v>
      </c>
      <c r="O417" t="s">
        <v>65</v>
      </c>
    </row>
    <row r="418" spans="1:15" x14ac:dyDescent="0.3">
      <c r="A418" t="s">
        <v>456</v>
      </c>
      <c r="B418" s="1">
        <v>45709</v>
      </c>
      <c r="C418" t="s">
        <v>1055</v>
      </c>
      <c r="D418" t="s">
        <v>71</v>
      </c>
      <c r="E418" t="s">
        <v>1248</v>
      </c>
      <c r="F418" t="s">
        <v>1269</v>
      </c>
      <c r="G418" t="s">
        <v>60</v>
      </c>
      <c r="H418" t="s">
        <v>53</v>
      </c>
      <c r="I418">
        <v>2</v>
      </c>
      <c r="J418" s="24">
        <v>249.88</v>
      </c>
      <c r="K418" s="24">
        <f t="shared" si="12"/>
        <v>499.76</v>
      </c>
      <c r="L418" s="24">
        <v>660.72</v>
      </c>
      <c r="M418" s="2">
        <f t="shared" si="13"/>
        <v>160.96000000000004</v>
      </c>
      <c r="N418" t="str">
        <v>Low</v>
      </c>
      <c r="O418" t="s">
        <v>65</v>
      </c>
    </row>
    <row r="419" spans="1:15" x14ac:dyDescent="0.3">
      <c r="A419" t="s">
        <v>457</v>
      </c>
      <c r="B419" s="1">
        <v>45710</v>
      </c>
      <c r="C419" t="s">
        <v>1173</v>
      </c>
      <c r="D419" t="s">
        <v>71</v>
      </c>
      <c r="E419" t="s">
        <v>1240</v>
      </c>
      <c r="F419" t="s">
        <v>1333</v>
      </c>
      <c r="G419" t="s">
        <v>60</v>
      </c>
      <c r="H419" t="s">
        <v>53</v>
      </c>
      <c r="I419">
        <v>4</v>
      </c>
      <c r="J419" s="24">
        <v>294.60000000000002</v>
      </c>
      <c r="K419" s="24">
        <f t="shared" si="12"/>
        <v>1178.4000000000001</v>
      </c>
      <c r="L419" s="24">
        <v>1577.1</v>
      </c>
      <c r="M419" s="2">
        <f t="shared" si="13"/>
        <v>398.69999999999982</v>
      </c>
      <c r="N419" t="str">
        <v>Low</v>
      </c>
      <c r="O419" t="s">
        <v>64</v>
      </c>
    </row>
    <row r="420" spans="1:15" x14ac:dyDescent="0.3">
      <c r="A420" t="s">
        <v>458</v>
      </c>
      <c r="B420" s="1">
        <v>45711</v>
      </c>
      <c r="C420" t="s">
        <v>1090</v>
      </c>
      <c r="D420" t="s">
        <v>71</v>
      </c>
      <c r="E420" t="s">
        <v>1248</v>
      </c>
      <c r="F420" t="s">
        <v>1301</v>
      </c>
      <c r="G420" t="s">
        <v>60</v>
      </c>
      <c r="H420" t="s">
        <v>53</v>
      </c>
      <c r="I420">
        <v>8</v>
      </c>
      <c r="J420" s="24">
        <v>405.18</v>
      </c>
      <c r="K420" s="24">
        <f t="shared" si="12"/>
        <v>3241.44</v>
      </c>
      <c r="L420" s="24">
        <v>4793.59</v>
      </c>
      <c r="M420" s="2">
        <f t="shared" si="13"/>
        <v>1552.15</v>
      </c>
      <c r="N420" t="str">
        <v>High</v>
      </c>
      <c r="O420" t="s">
        <v>64</v>
      </c>
    </row>
    <row r="421" spans="1:15" x14ac:dyDescent="0.3">
      <c r="A421" t="s">
        <v>459</v>
      </c>
      <c r="B421" s="1">
        <v>45712</v>
      </c>
      <c r="C421" t="s">
        <v>1214</v>
      </c>
      <c r="D421" t="s">
        <v>71</v>
      </c>
      <c r="E421" t="s">
        <v>1254</v>
      </c>
      <c r="F421" t="s">
        <v>1322</v>
      </c>
      <c r="G421" t="s">
        <v>60</v>
      </c>
      <c r="H421" t="s">
        <v>51</v>
      </c>
      <c r="I421">
        <v>3</v>
      </c>
      <c r="J421" s="24">
        <v>231.46</v>
      </c>
      <c r="K421" s="24">
        <f t="shared" si="12"/>
        <v>694.38</v>
      </c>
      <c r="L421" s="24">
        <v>872.76</v>
      </c>
      <c r="M421" s="2">
        <f t="shared" si="13"/>
        <v>178.38</v>
      </c>
      <c r="N421" t="str">
        <v>Low</v>
      </c>
      <c r="O421" t="s">
        <v>65</v>
      </c>
    </row>
    <row r="422" spans="1:15" x14ac:dyDescent="0.3">
      <c r="A422" t="s">
        <v>460</v>
      </c>
      <c r="B422" s="1">
        <v>45713</v>
      </c>
      <c r="C422" t="s">
        <v>1119</v>
      </c>
      <c r="D422" t="s">
        <v>72</v>
      </c>
      <c r="E422" t="s">
        <v>1253</v>
      </c>
      <c r="F422" t="s">
        <v>1298</v>
      </c>
      <c r="G422" t="s">
        <v>60</v>
      </c>
      <c r="H422" t="s">
        <v>54</v>
      </c>
      <c r="I422">
        <v>2</v>
      </c>
      <c r="J422" s="24">
        <v>252.69</v>
      </c>
      <c r="K422" s="24">
        <f t="shared" si="12"/>
        <v>505.38</v>
      </c>
      <c r="L422" s="24">
        <v>651.14</v>
      </c>
      <c r="M422" s="2">
        <f t="shared" si="13"/>
        <v>145.76</v>
      </c>
      <c r="N422" t="str">
        <v>Low</v>
      </c>
      <c r="O422" t="s">
        <v>63</v>
      </c>
    </row>
    <row r="423" spans="1:15" x14ac:dyDescent="0.3">
      <c r="A423" t="s">
        <v>461</v>
      </c>
      <c r="B423" s="1">
        <v>45714</v>
      </c>
      <c r="C423" t="s">
        <v>1215</v>
      </c>
      <c r="D423" t="s">
        <v>73</v>
      </c>
      <c r="E423" t="s">
        <v>1252</v>
      </c>
      <c r="F423" t="s">
        <v>1311</v>
      </c>
      <c r="G423" t="s">
        <v>60</v>
      </c>
      <c r="H423" t="s">
        <v>51</v>
      </c>
      <c r="I423">
        <v>1</v>
      </c>
      <c r="J423" s="24">
        <v>234.41</v>
      </c>
      <c r="K423" s="24">
        <f t="shared" si="12"/>
        <v>234.41</v>
      </c>
      <c r="L423" s="24">
        <v>306.63</v>
      </c>
      <c r="M423" s="2">
        <f t="shared" si="13"/>
        <v>72.22</v>
      </c>
      <c r="N423" t="str">
        <v>Low</v>
      </c>
      <c r="O423" t="s">
        <v>65</v>
      </c>
    </row>
    <row r="424" spans="1:15" x14ac:dyDescent="0.3">
      <c r="A424" t="s">
        <v>462</v>
      </c>
      <c r="B424" s="1">
        <v>45715</v>
      </c>
      <c r="C424" t="s">
        <v>1178</v>
      </c>
      <c r="D424" t="s">
        <v>73</v>
      </c>
      <c r="E424" t="s">
        <v>1243</v>
      </c>
      <c r="F424" t="s">
        <v>1306</v>
      </c>
      <c r="G424" t="s">
        <v>60</v>
      </c>
      <c r="H424" t="s">
        <v>52</v>
      </c>
      <c r="I424">
        <v>5</v>
      </c>
      <c r="J424" s="24">
        <v>260.23</v>
      </c>
      <c r="K424" s="24">
        <f t="shared" si="12"/>
        <v>1301.1500000000001</v>
      </c>
      <c r="L424" s="24">
        <v>1837.62</v>
      </c>
      <c r="M424" s="2">
        <f t="shared" si="13"/>
        <v>536.4699999999998</v>
      </c>
      <c r="N424" t="str">
        <v>Low</v>
      </c>
      <c r="O424" t="s">
        <v>63</v>
      </c>
    </row>
    <row r="425" spans="1:15" x14ac:dyDescent="0.3">
      <c r="A425" t="s">
        <v>463</v>
      </c>
      <c r="B425" s="1">
        <v>45716</v>
      </c>
      <c r="C425" t="s">
        <v>1053</v>
      </c>
      <c r="D425" t="s">
        <v>71</v>
      </c>
      <c r="E425" t="s">
        <v>1241</v>
      </c>
      <c r="F425" t="s">
        <v>1299</v>
      </c>
      <c r="G425" t="s">
        <v>60</v>
      </c>
      <c r="H425" t="s">
        <v>51</v>
      </c>
      <c r="I425">
        <v>1</v>
      </c>
      <c r="J425" s="24">
        <v>57.65</v>
      </c>
      <c r="K425" s="24">
        <f t="shared" si="12"/>
        <v>57.65</v>
      </c>
      <c r="L425" s="24">
        <v>80.489999999999995</v>
      </c>
      <c r="M425" s="2">
        <f t="shared" si="13"/>
        <v>22.839999999999996</v>
      </c>
      <c r="N425" t="str">
        <v>Low</v>
      </c>
      <c r="O425" t="s">
        <v>65</v>
      </c>
    </row>
    <row r="426" spans="1:15" x14ac:dyDescent="0.3">
      <c r="A426" t="s">
        <v>464</v>
      </c>
      <c r="B426" s="1">
        <v>45717</v>
      </c>
      <c r="C426" t="s">
        <v>1188</v>
      </c>
      <c r="D426" t="s">
        <v>71</v>
      </c>
      <c r="E426" t="s">
        <v>1240</v>
      </c>
      <c r="F426" t="s">
        <v>1275</v>
      </c>
      <c r="G426" t="s">
        <v>60</v>
      </c>
      <c r="H426" t="s">
        <v>51</v>
      </c>
      <c r="I426">
        <v>5</v>
      </c>
      <c r="J426" s="24">
        <v>321.45</v>
      </c>
      <c r="K426" s="24">
        <f t="shared" si="12"/>
        <v>1607.25</v>
      </c>
      <c r="L426" s="24">
        <v>1986.78</v>
      </c>
      <c r="M426" s="2">
        <f t="shared" si="13"/>
        <v>379.53</v>
      </c>
      <c r="N426" t="str">
        <v>Low</v>
      </c>
      <c r="O426" t="s">
        <v>63</v>
      </c>
    </row>
    <row r="427" spans="1:15" x14ac:dyDescent="0.3">
      <c r="A427" t="s">
        <v>465</v>
      </c>
      <c r="B427" s="1">
        <v>45718</v>
      </c>
      <c r="C427" t="s">
        <v>1216</v>
      </c>
      <c r="D427" t="s">
        <v>74</v>
      </c>
      <c r="E427" t="s">
        <v>1244</v>
      </c>
      <c r="F427" t="s">
        <v>1264</v>
      </c>
      <c r="G427" t="s">
        <v>60</v>
      </c>
      <c r="H427" t="s">
        <v>54</v>
      </c>
      <c r="I427">
        <v>4</v>
      </c>
      <c r="J427" s="24">
        <v>393.57</v>
      </c>
      <c r="K427" s="24">
        <f t="shared" si="12"/>
        <v>1574.28</v>
      </c>
      <c r="L427" s="24">
        <v>2286.83</v>
      </c>
      <c r="M427" s="2">
        <f t="shared" si="13"/>
        <v>712.55</v>
      </c>
      <c r="N427" t="str">
        <v>High</v>
      </c>
      <c r="O427" t="s">
        <v>63</v>
      </c>
    </row>
    <row r="428" spans="1:15" x14ac:dyDescent="0.3">
      <c r="A428" t="s">
        <v>466</v>
      </c>
      <c r="B428" s="1">
        <v>45719</v>
      </c>
      <c r="C428" t="s">
        <v>1131</v>
      </c>
      <c r="D428" t="s">
        <v>72</v>
      </c>
      <c r="E428" t="s">
        <v>1246</v>
      </c>
      <c r="F428" t="s">
        <v>1286</v>
      </c>
      <c r="G428" t="s">
        <v>60</v>
      </c>
      <c r="H428" t="s">
        <v>53</v>
      </c>
      <c r="I428">
        <v>6</v>
      </c>
      <c r="J428" s="24">
        <v>292.48</v>
      </c>
      <c r="K428" s="24">
        <f t="shared" si="12"/>
        <v>1754.88</v>
      </c>
      <c r="L428" s="24">
        <v>2042.25</v>
      </c>
      <c r="M428" s="2">
        <f t="shared" si="13"/>
        <v>287.36999999999989</v>
      </c>
      <c r="N428" t="str">
        <v>High</v>
      </c>
      <c r="O428" t="s">
        <v>64</v>
      </c>
    </row>
    <row r="429" spans="1:15" x14ac:dyDescent="0.3">
      <c r="A429" t="s">
        <v>467</v>
      </c>
      <c r="B429" s="1">
        <v>45720</v>
      </c>
      <c r="C429" t="s">
        <v>1170</v>
      </c>
      <c r="D429" t="s">
        <v>73</v>
      </c>
      <c r="E429" t="s">
        <v>1252</v>
      </c>
      <c r="F429" t="s">
        <v>1278</v>
      </c>
      <c r="G429" t="s">
        <v>60</v>
      </c>
      <c r="H429" t="s">
        <v>53</v>
      </c>
      <c r="I429">
        <v>1</v>
      </c>
      <c r="J429" s="24">
        <v>86.07</v>
      </c>
      <c r="K429" s="24">
        <f t="shared" si="12"/>
        <v>86.07</v>
      </c>
      <c r="L429" s="24">
        <v>108.44</v>
      </c>
      <c r="M429" s="2">
        <f t="shared" si="13"/>
        <v>22.370000000000005</v>
      </c>
      <c r="N429" t="str">
        <v>Low</v>
      </c>
      <c r="O429" t="s">
        <v>64</v>
      </c>
    </row>
    <row r="430" spans="1:15" x14ac:dyDescent="0.3">
      <c r="A430" t="s">
        <v>468</v>
      </c>
      <c r="B430" s="1">
        <v>45721</v>
      </c>
      <c r="C430" t="s">
        <v>1089</v>
      </c>
      <c r="D430" t="s">
        <v>73</v>
      </c>
      <c r="E430" t="s">
        <v>1250</v>
      </c>
      <c r="F430" t="s">
        <v>1274</v>
      </c>
      <c r="G430" t="s">
        <v>60</v>
      </c>
      <c r="H430" t="s">
        <v>51</v>
      </c>
      <c r="I430">
        <v>2</v>
      </c>
      <c r="J430" s="24">
        <v>113.05</v>
      </c>
      <c r="K430" s="24">
        <f t="shared" si="12"/>
        <v>226.1</v>
      </c>
      <c r="L430" s="24">
        <v>314.02999999999997</v>
      </c>
      <c r="M430" s="2">
        <f t="shared" si="13"/>
        <v>87.929999999999978</v>
      </c>
      <c r="N430" t="str">
        <v>Low</v>
      </c>
      <c r="O430" t="s">
        <v>63</v>
      </c>
    </row>
    <row r="431" spans="1:15" x14ac:dyDescent="0.3">
      <c r="A431" t="s">
        <v>469</v>
      </c>
      <c r="B431" s="1">
        <v>45722</v>
      </c>
      <c r="C431" t="s">
        <v>1132</v>
      </c>
      <c r="D431" t="s">
        <v>71</v>
      </c>
      <c r="E431" t="s">
        <v>1254</v>
      </c>
      <c r="F431" t="s">
        <v>1292</v>
      </c>
      <c r="G431" t="s">
        <v>60</v>
      </c>
      <c r="H431" t="s">
        <v>53</v>
      </c>
      <c r="I431">
        <v>7</v>
      </c>
      <c r="J431" s="24">
        <v>373.09</v>
      </c>
      <c r="K431" s="24">
        <f t="shared" si="12"/>
        <v>2611.6299999999997</v>
      </c>
      <c r="L431" s="24">
        <v>2970.53</v>
      </c>
      <c r="M431" s="2">
        <f t="shared" si="13"/>
        <v>358.90000000000055</v>
      </c>
      <c r="N431" t="str">
        <v>High</v>
      </c>
      <c r="O431" t="s">
        <v>64</v>
      </c>
    </row>
    <row r="432" spans="1:15" x14ac:dyDescent="0.3">
      <c r="A432" t="s">
        <v>470</v>
      </c>
      <c r="B432" s="1">
        <v>45723</v>
      </c>
      <c r="C432" t="s">
        <v>1141</v>
      </c>
      <c r="D432" t="s">
        <v>73</v>
      </c>
      <c r="E432" t="s">
        <v>1252</v>
      </c>
      <c r="F432" t="s">
        <v>1278</v>
      </c>
      <c r="G432" t="s">
        <v>60</v>
      </c>
      <c r="H432" t="s">
        <v>53</v>
      </c>
      <c r="I432">
        <v>8</v>
      </c>
      <c r="J432" s="24">
        <v>110.67</v>
      </c>
      <c r="K432" s="24">
        <f t="shared" si="12"/>
        <v>885.36</v>
      </c>
      <c r="L432" s="24">
        <v>1272.1400000000001</v>
      </c>
      <c r="M432" s="2">
        <f t="shared" si="13"/>
        <v>386.78000000000009</v>
      </c>
      <c r="N432" t="str">
        <v>Low</v>
      </c>
      <c r="O432" t="s">
        <v>63</v>
      </c>
    </row>
    <row r="433" spans="1:15" x14ac:dyDescent="0.3">
      <c r="A433" t="s">
        <v>471</v>
      </c>
      <c r="B433" s="1">
        <v>45724</v>
      </c>
      <c r="C433" t="s">
        <v>1213</v>
      </c>
      <c r="D433" t="s">
        <v>71</v>
      </c>
      <c r="E433" t="s">
        <v>1241</v>
      </c>
      <c r="F433" t="s">
        <v>1287</v>
      </c>
      <c r="G433" t="s">
        <v>60</v>
      </c>
      <c r="H433" t="s">
        <v>52</v>
      </c>
      <c r="I433">
        <v>10</v>
      </c>
      <c r="J433" s="24">
        <v>87.34</v>
      </c>
      <c r="K433" s="24">
        <f t="shared" si="12"/>
        <v>873.40000000000009</v>
      </c>
      <c r="L433" s="24">
        <v>1030.7</v>
      </c>
      <c r="M433" s="2">
        <f t="shared" si="13"/>
        <v>157.29999999999995</v>
      </c>
      <c r="N433" t="str">
        <v>Low</v>
      </c>
      <c r="O433" t="s">
        <v>63</v>
      </c>
    </row>
    <row r="434" spans="1:15" x14ac:dyDescent="0.3">
      <c r="A434" t="s">
        <v>472</v>
      </c>
      <c r="B434" s="1">
        <v>45725</v>
      </c>
      <c r="C434" t="s">
        <v>1144</v>
      </c>
      <c r="D434" t="s">
        <v>74</v>
      </c>
      <c r="E434" t="s">
        <v>1249</v>
      </c>
      <c r="F434" t="s">
        <v>1321</v>
      </c>
      <c r="G434" t="s">
        <v>60</v>
      </c>
      <c r="H434" t="s">
        <v>53</v>
      </c>
      <c r="I434">
        <v>9</v>
      </c>
      <c r="J434" s="24">
        <v>292.91000000000003</v>
      </c>
      <c r="K434" s="24">
        <f t="shared" si="12"/>
        <v>2636.19</v>
      </c>
      <c r="L434" s="24">
        <v>3178.68</v>
      </c>
      <c r="M434" s="2">
        <f t="shared" si="13"/>
        <v>542.48999999999978</v>
      </c>
      <c r="N434" t="str">
        <v>High</v>
      </c>
      <c r="O434" t="s">
        <v>63</v>
      </c>
    </row>
    <row r="435" spans="1:15" x14ac:dyDescent="0.3">
      <c r="A435" t="s">
        <v>473</v>
      </c>
      <c r="B435" s="1">
        <v>45726</v>
      </c>
      <c r="C435" t="s">
        <v>1162</v>
      </c>
      <c r="D435" t="s">
        <v>72</v>
      </c>
      <c r="E435" t="s">
        <v>1246</v>
      </c>
      <c r="F435" t="s">
        <v>1286</v>
      </c>
      <c r="G435" t="s">
        <v>60</v>
      </c>
      <c r="H435" t="s">
        <v>51</v>
      </c>
      <c r="I435">
        <v>5</v>
      </c>
      <c r="J435" s="24">
        <v>359.41</v>
      </c>
      <c r="K435" s="24">
        <f t="shared" si="12"/>
        <v>1797.0500000000002</v>
      </c>
      <c r="L435" s="24">
        <v>2446.37</v>
      </c>
      <c r="M435" s="2">
        <f t="shared" si="13"/>
        <v>649.31999999999971</v>
      </c>
      <c r="N435" t="str">
        <v>High</v>
      </c>
      <c r="O435" t="s">
        <v>63</v>
      </c>
    </row>
    <row r="436" spans="1:15" x14ac:dyDescent="0.3">
      <c r="A436" t="s">
        <v>474</v>
      </c>
      <c r="B436" s="1">
        <v>45727</v>
      </c>
      <c r="C436" t="s">
        <v>1190</v>
      </c>
      <c r="D436" t="s">
        <v>71</v>
      </c>
      <c r="E436" t="s">
        <v>1240</v>
      </c>
      <c r="F436" t="s">
        <v>1258</v>
      </c>
      <c r="G436" t="s">
        <v>60</v>
      </c>
      <c r="H436" t="s">
        <v>52</v>
      </c>
      <c r="I436">
        <v>8</v>
      </c>
      <c r="J436" s="24">
        <v>412.52</v>
      </c>
      <c r="K436" s="24">
        <f t="shared" si="12"/>
        <v>3300.16</v>
      </c>
      <c r="L436" s="24">
        <v>3892.66</v>
      </c>
      <c r="M436" s="2">
        <f t="shared" si="13"/>
        <v>592.5</v>
      </c>
      <c r="N436" t="str">
        <v>High</v>
      </c>
      <c r="O436" t="s">
        <v>64</v>
      </c>
    </row>
    <row r="437" spans="1:15" x14ac:dyDescent="0.3">
      <c r="A437" t="s">
        <v>475</v>
      </c>
      <c r="B437" s="1">
        <v>45728</v>
      </c>
      <c r="C437" t="s">
        <v>1105</v>
      </c>
      <c r="D437" t="s">
        <v>72</v>
      </c>
      <c r="E437" t="s">
        <v>1242</v>
      </c>
      <c r="F437" t="s">
        <v>1259</v>
      </c>
      <c r="G437" t="s">
        <v>60</v>
      </c>
      <c r="H437" t="s">
        <v>54</v>
      </c>
      <c r="I437">
        <v>1</v>
      </c>
      <c r="J437" s="24">
        <v>330.72</v>
      </c>
      <c r="K437" s="24">
        <f t="shared" si="12"/>
        <v>330.72</v>
      </c>
      <c r="L437" s="24">
        <v>428.38</v>
      </c>
      <c r="M437" s="2">
        <f t="shared" si="13"/>
        <v>97.659999999999968</v>
      </c>
      <c r="N437" t="str">
        <v>Low</v>
      </c>
      <c r="O437" t="s">
        <v>65</v>
      </c>
    </row>
    <row r="438" spans="1:15" x14ac:dyDescent="0.3">
      <c r="A438" t="s">
        <v>476</v>
      </c>
      <c r="B438" s="1">
        <v>45729</v>
      </c>
      <c r="C438" t="s">
        <v>1075</v>
      </c>
      <c r="D438" t="s">
        <v>71</v>
      </c>
      <c r="E438" t="s">
        <v>1251</v>
      </c>
      <c r="F438" t="s">
        <v>1276</v>
      </c>
      <c r="G438" t="s">
        <v>60</v>
      </c>
      <c r="H438" t="s">
        <v>52</v>
      </c>
      <c r="I438">
        <v>7</v>
      </c>
      <c r="J438" s="24">
        <v>169.33</v>
      </c>
      <c r="K438" s="24">
        <f t="shared" si="12"/>
        <v>1185.3100000000002</v>
      </c>
      <c r="L438" s="24">
        <v>1584.42</v>
      </c>
      <c r="M438" s="2">
        <f t="shared" si="13"/>
        <v>399.1099999999999</v>
      </c>
      <c r="N438" t="str">
        <v>Low</v>
      </c>
      <c r="O438" t="s">
        <v>64</v>
      </c>
    </row>
    <row r="439" spans="1:15" x14ac:dyDescent="0.3">
      <c r="A439" t="s">
        <v>477</v>
      </c>
      <c r="B439" s="1">
        <v>45730</v>
      </c>
      <c r="C439" t="s">
        <v>1205</v>
      </c>
      <c r="D439" t="s">
        <v>74</v>
      </c>
      <c r="E439" t="s">
        <v>1244</v>
      </c>
      <c r="F439" t="s">
        <v>1264</v>
      </c>
      <c r="G439" t="s">
        <v>60</v>
      </c>
      <c r="H439" t="s">
        <v>54</v>
      </c>
      <c r="I439">
        <v>8</v>
      </c>
      <c r="J439" s="24">
        <v>61.49</v>
      </c>
      <c r="K439" s="24">
        <f t="shared" si="12"/>
        <v>491.92</v>
      </c>
      <c r="L439" s="24">
        <v>625.73</v>
      </c>
      <c r="M439" s="2">
        <f t="shared" si="13"/>
        <v>133.81</v>
      </c>
      <c r="N439" t="str">
        <v>Low</v>
      </c>
      <c r="O439" t="s">
        <v>64</v>
      </c>
    </row>
    <row r="440" spans="1:15" x14ac:dyDescent="0.3">
      <c r="A440" t="s">
        <v>478</v>
      </c>
      <c r="B440" s="1">
        <v>45731</v>
      </c>
      <c r="C440" t="s">
        <v>1050</v>
      </c>
      <c r="D440" t="s">
        <v>1255</v>
      </c>
      <c r="E440" t="s">
        <v>59</v>
      </c>
      <c r="F440" t="s">
        <v>1262</v>
      </c>
      <c r="G440" t="s">
        <v>60</v>
      </c>
      <c r="H440" t="s">
        <v>52</v>
      </c>
      <c r="I440">
        <v>6</v>
      </c>
      <c r="J440" s="24">
        <v>158.63</v>
      </c>
      <c r="K440" s="24">
        <f t="shared" si="12"/>
        <v>951.78</v>
      </c>
      <c r="L440" s="24">
        <v>1197.6099999999999</v>
      </c>
      <c r="M440" s="2">
        <f t="shared" si="13"/>
        <v>245.82999999999993</v>
      </c>
      <c r="N440" t="str">
        <v>Low</v>
      </c>
      <c r="O440" t="s">
        <v>65</v>
      </c>
    </row>
    <row r="441" spans="1:15" x14ac:dyDescent="0.3">
      <c r="A441" t="s">
        <v>479</v>
      </c>
      <c r="B441" s="1">
        <v>45732</v>
      </c>
      <c r="C441" t="s">
        <v>1075</v>
      </c>
      <c r="D441" t="s">
        <v>72</v>
      </c>
      <c r="E441" t="s">
        <v>1242</v>
      </c>
      <c r="F441" t="s">
        <v>1280</v>
      </c>
      <c r="G441" t="s">
        <v>60</v>
      </c>
      <c r="H441" t="s">
        <v>51</v>
      </c>
      <c r="I441">
        <v>3</v>
      </c>
      <c r="J441" s="24">
        <v>56.65</v>
      </c>
      <c r="K441" s="24">
        <f t="shared" si="12"/>
        <v>169.95</v>
      </c>
      <c r="L441" s="24">
        <v>241.35</v>
      </c>
      <c r="M441" s="2">
        <f t="shared" si="13"/>
        <v>71.400000000000006</v>
      </c>
      <c r="N441" t="str">
        <v>Low</v>
      </c>
      <c r="O441" t="s">
        <v>64</v>
      </c>
    </row>
    <row r="442" spans="1:15" x14ac:dyDescent="0.3">
      <c r="A442" t="s">
        <v>480</v>
      </c>
      <c r="B442" s="1">
        <v>45733</v>
      </c>
      <c r="C442" t="s">
        <v>1097</v>
      </c>
      <c r="D442" t="s">
        <v>72</v>
      </c>
      <c r="E442" t="s">
        <v>1246</v>
      </c>
      <c r="F442" t="s">
        <v>1300</v>
      </c>
      <c r="G442" t="s">
        <v>60</v>
      </c>
      <c r="H442" t="s">
        <v>52</v>
      </c>
      <c r="I442">
        <v>8</v>
      </c>
      <c r="J442" s="24">
        <v>338.62</v>
      </c>
      <c r="K442" s="24">
        <f t="shared" si="12"/>
        <v>2708.96</v>
      </c>
      <c r="L442" s="24">
        <v>3027.69</v>
      </c>
      <c r="M442" s="2">
        <f t="shared" si="13"/>
        <v>318.73</v>
      </c>
      <c r="N442" t="str">
        <v>High</v>
      </c>
      <c r="O442" t="s">
        <v>64</v>
      </c>
    </row>
    <row r="443" spans="1:15" x14ac:dyDescent="0.3">
      <c r="A443" t="s">
        <v>481</v>
      </c>
      <c r="B443" s="1">
        <v>45734</v>
      </c>
      <c r="C443" t="s">
        <v>1119</v>
      </c>
      <c r="D443" t="s">
        <v>74</v>
      </c>
      <c r="E443" t="s">
        <v>1249</v>
      </c>
      <c r="F443" t="s">
        <v>1324</v>
      </c>
      <c r="G443" t="s">
        <v>60</v>
      </c>
      <c r="H443" t="s">
        <v>51</v>
      </c>
      <c r="I443">
        <v>6</v>
      </c>
      <c r="J443" s="24">
        <v>342.64</v>
      </c>
      <c r="K443" s="24">
        <f t="shared" si="12"/>
        <v>2055.84</v>
      </c>
      <c r="L443" s="24">
        <v>2461.87</v>
      </c>
      <c r="M443" s="2">
        <f t="shared" si="13"/>
        <v>406.02999999999975</v>
      </c>
      <c r="N443" t="str">
        <v>High</v>
      </c>
      <c r="O443" t="s">
        <v>64</v>
      </c>
    </row>
    <row r="444" spans="1:15" x14ac:dyDescent="0.3">
      <c r="A444" t="s">
        <v>482</v>
      </c>
      <c r="B444" s="1">
        <v>45735</v>
      </c>
      <c r="C444" t="s">
        <v>1185</v>
      </c>
      <c r="D444" t="s">
        <v>71</v>
      </c>
      <c r="E444" t="s">
        <v>1251</v>
      </c>
      <c r="F444" t="s">
        <v>1276</v>
      </c>
      <c r="G444" t="s">
        <v>60</v>
      </c>
      <c r="H444" t="s">
        <v>54</v>
      </c>
      <c r="I444">
        <v>7</v>
      </c>
      <c r="J444" s="24">
        <v>131.63</v>
      </c>
      <c r="K444" s="24">
        <f t="shared" si="12"/>
        <v>921.41</v>
      </c>
      <c r="L444" s="24">
        <v>1341.08</v>
      </c>
      <c r="M444" s="2">
        <f t="shared" si="13"/>
        <v>419.66999999999996</v>
      </c>
      <c r="N444" t="str">
        <v>Low</v>
      </c>
      <c r="O444" t="s">
        <v>65</v>
      </c>
    </row>
    <row r="445" spans="1:15" x14ac:dyDescent="0.3">
      <c r="A445" t="s">
        <v>483</v>
      </c>
      <c r="B445" s="1">
        <v>45736</v>
      </c>
      <c r="C445" t="s">
        <v>1201</v>
      </c>
      <c r="D445" t="s">
        <v>71</v>
      </c>
      <c r="E445" t="s">
        <v>1241</v>
      </c>
      <c r="F445" t="s">
        <v>1312</v>
      </c>
      <c r="G445" t="s">
        <v>60</v>
      </c>
      <c r="H445" t="s">
        <v>53</v>
      </c>
      <c r="I445">
        <v>8</v>
      </c>
      <c r="J445" s="24">
        <v>237.5</v>
      </c>
      <c r="K445" s="24">
        <f t="shared" si="12"/>
        <v>1900</v>
      </c>
      <c r="L445" s="24">
        <v>2401.92</v>
      </c>
      <c r="M445" s="2">
        <f t="shared" si="13"/>
        <v>501.92000000000007</v>
      </c>
      <c r="N445" t="str">
        <v>High</v>
      </c>
      <c r="O445" t="s">
        <v>64</v>
      </c>
    </row>
    <row r="446" spans="1:15" x14ac:dyDescent="0.3">
      <c r="A446" t="s">
        <v>484</v>
      </c>
      <c r="B446" s="1">
        <v>45737</v>
      </c>
      <c r="C446" t="s">
        <v>1194</v>
      </c>
      <c r="D446" t="s">
        <v>71</v>
      </c>
      <c r="E446" t="s">
        <v>1254</v>
      </c>
      <c r="F446" t="s">
        <v>1292</v>
      </c>
      <c r="G446" t="s">
        <v>60</v>
      </c>
      <c r="H446" t="s">
        <v>53</v>
      </c>
      <c r="I446">
        <v>7</v>
      </c>
      <c r="J446" s="24">
        <v>128.86000000000001</v>
      </c>
      <c r="K446" s="24">
        <f t="shared" si="12"/>
        <v>902.0200000000001</v>
      </c>
      <c r="L446" s="24">
        <v>1134.93</v>
      </c>
      <c r="M446" s="2">
        <f t="shared" si="13"/>
        <v>232.90999999999997</v>
      </c>
      <c r="N446" t="str">
        <v>Low</v>
      </c>
      <c r="O446" t="s">
        <v>63</v>
      </c>
    </row>
    <row r="447" spans="1:15" x14ac:dyDescent="0.3">
      <c r="A447" t="s">
        <v>485</v>
      </c>
      <c r="B447" s="1">
        <v>45738</v>
      </c>
      <c r="C447" t="s">
        <v>1095</v>
      </c>
      <c r="D447" t="s">
        <v>72</v>
      </c>
      <c r="E447" t="s">
        <v>1242</v>
      </c>
      <c r="F447" t="s">
        <v>1332</v>
      </c>
      <c r="G447" t="s">
        <v>60</v>
      </c>
      <c r="H447" t="s">
        <v>52</v>
      </c>
      <c r="I447">
        <v>2</v>
      </c>
      <c r="J447" s="24">
        <v>113.93</v>
      </c>
      <c r="K447" s="24">
        <f t="shared" si="12"/>
        <v>227.86</v>
      </c>
      <c r="L447" s="24">
        <v>300.98</v>
      </c>
      <c r="M447" s="2">
        <f t="shared" si="13"/>
        <v>73.12</v>
      </c>
      <c r="N447" t="str">
        <v>Low</v>
      </c>
      <c r="O447" t="s">
        <v>64</v>
      </c>
    </row>
    <row r="448" spans="1:15" x14ac:dyDescent="0.3">
      <c r="A448" t="s">
        <v>486</v>
      </c>
      <c r="B448" s="1">
        <v>45739</v>
      </c>
      <c r="C448" t="s">
        <v>1181</v>
      </c>
      <c r="D448" t="s">
        <v>74</v>
      </c>
      <c r="E448" t="s">
        <v>1249</v>
      </c>
      <c r="F448" t="s">
        <v>1324</v>
      </c>
      <c r="G448" t="s">
        <v>60</v>
      </c>
      <c r="H448" t="s">
        <v>51</v>
      </c>
      <c r="I448">
        <v>9</v>
      </c>
      <c r="J448" s="24">
        <v>355.7</v>
      </c>
      <c r="K448" s="24">
        <f t="shared" si="12"/>
        <v>3201.2999999999997</v>
      </c>
      <c r="L448" s="24">
        <v>4184.07</v>
      </c>
      <c r="M448" s="2">
        <f t="shared" si="13"/>
        <v>982.77</v>
      </c>
      <c r="N448" t="str">
        <v>High</v>
      </c>
      <c r="O448" t="s">
        <v>64</v>
      </c>
    </row>
    <row r="449" spans="1:15" x14ac:dyDescent="0.3">
      <c r="A449" t="s">
        <v>487</v>
      </c>
      <c r="B449" s="1">
        <v>45740</v>
      </c>
      <c r="C449" t="s">
        <v>1097</v>
      </c>
      <c r="D449" t="s">
        <v>72</v>
      </c>
      <c r="E449" t="s">
        <v>1245</v>
      </c>
      <c r="F449" t="s">
        <v>1265</v>
      </c>
      <c r="G449" t="s">
        <v>60</v>
      </c>
      <c r="H449" t="s">
        <v>52</v>
      </c>
      <c r="I449">
        <v>2</v>
      </c>
      <c r="J449" s="24">
        <v>321.05</v>
      </c>
      <c r="K449" s="24">
        <f t="shared" si="12"/>
        <v>642.1</v>
      </c>
      <c r="L449" s="24">
        <v>742.97</v>
      </c>
      <c r="M449" s="2">
        <f t="shared" si="13"/>
        <v>100.87</v>
      </c>
      <c r="N449" t="str">
        <v>Low</v>
      </c>
      <c r="O449" t="s">
        <v>64</v>
      </c>
    </row>
    <row r="450" spans="1:15" x14ac:dyDescent="0.3">
      <c r="A450" t="s">
        <v>488</v>
      </c>
      <c r="B450" s="1">
        <v>45741</v>
      </c>
      <c r="C450" t="s">
        <v>1054</v>
      </c>
      <c r="D450" t="s">
        <v>74</v>
      </c>
      <c r="E450" t="s">
        <v>1249</v>
      </c>
      <c r="F450" t="s">
        <v>1325</v>
      </c>
      <c r="G450" t="s">
        <v>60</v>
      </c>
      <c r="H450" t="s">
        <v>53</v>
      </c>
      <c r="I450">
        <v>8</v>
      </c>
      <c r="J450" s="24">
        <v>194.66</v>
      </c>
      <c r="K450" s="24">
        <f t="shared" si="12"/>
        <v>1557.28</v>
      </c>
      <c r="L450" s="24">
        <v>2209.48</v>
      </c>
      <c r="M450" s="2">
        <f t="shared" si="13"/>
        <v>652.20000000000005</v>
      </c>
      <c r="N450" t="str">
        <v>High</v>
      </c>
      <c r="O450" t="s">
        <v>64</v>
      </c>
    </row>
    <row r="451" spans="1:15" x14ac:dyDescent="0.3">
      <c r="A451" t="s">
        <v>489</v>
      </c>
      <c r="B451" s="1">
        <v>45742</v>
      </c>
      <c r="C451" t="s">
        <v>1202</v>
      </c>
      <c r="D451" t="s">
        <v>71</v>
      </c>
      <c r="E451" t="s">
        <v>1241</v>
      </c>
      <c r="F451" t="s">
        <v>1312</v>
      </c>
      <c r="G451" t="s">
        <v>60</v>
      </c>
      <c r="H451" t="s">
        <v>52</v>
      </c>
      <c r="I451">
        <v>3</v>
      </c>
      <c r="J451" s="24">
        <v>156.66</v>
      </c>
      <c r="K451" s="24">
        <f t="shared" ref="K451:K514" si="14">J451*I451</f>
        <v>469.98</v>
      </c>
      <c r="L451" s="24">
        <v>621.62</v>
      </c>
      <c r="M451" s="2">
        <f t="shared" ref="M451:M514" si="15">L451-K451</f>
        <v>151.63999999999999</v>
      </c>
      <c r="N451" t="str">
        <v>Low</v>
      </c>
      <c r="O451" t="s">
        <v>63</v>
      </c>
    </row>
    <row r="452" spans="1:15" x14ac:dyDescent="0.3">
      <c r="A452" t="s">
        <v>490</v>
      </c>
      <c r="B452" s="1">
        <v>45743</v>
      </c>
      <c r="C452" t="s">
        <v>1071</v>
      </c>
      <c r="D452" t="s">
        <v>71</v>
      </c>
      <c r="E452" t="s">
        <v>1248</v>
      </c>
      <c r="F452" t="s">
        <v>1329</v>
      </c>
      <c r="G452" t="s">
        <v>60</v>
      </c>
      <c r="H452" t="s">
        <v>53</v>
      </c>
      <c r="I452">
        <v>7</v>
      </c>
      <c r="J452" s="24">
        <v>163.22999999999999</v>
      </c>
      <c r="K452" s="24">
        <f t="shared" si="14"/>
        <v>1142.6099999999999</v>
      </c>
      <c r="L452" s="24">
        <v>1270.45</v>
      </c>
      <c r="M452" s="2">
        <f t="shared" si="15"/>
        <v>127.84000000000015</v>
      </c>
      <c r="N452" t="str">
        <v>Low</v>
      </c>
      <c r="O452" t="s">
        <v>64</v>
      </c>
    </row>
    <row r="453" spans="1:15" x14ac:dyDescent="0.3">
      <c r="A453" t="s">
        <v>491</v>
      </c>
      <c r="B453" s="1">
        <v>45744</v>
      </c>
      <c r="C453" t="s">
        <v>1199</v>
      </c>
      <c r="D453" t="s">
        <v>71</v>
      </c>
      <c r="E453" t="s">
        <v>1241</v>
      </c>
      <c r="F453" t="s">
        <v>56</v>
      </c>
      <c r="G453" t="s">
        <v>60</v>
      </c>
      <c r="H453" t="s">
        <v>54</v>
      </c>
      <c r="I453">
        <v>5</v>
      </c>
      <c r="J453" s="24">
        <v>345.43</v>
      </c>
      <c r="K453" s="24">
        <f t="shared" si="14"/>
        <v>1727.15</v>
      </c>
      <c r="L453" s="24">
        <v>2412.9299999999998</v>
      </c>
      <c r="M453" s="2">
        <f t="shared" si="15"/>
        <v>685.77999999999975</v>
      </c>
      <c r="N453" t="str">
        <v>High</v>
      </c>
      <c r="O453" t="s">
        <v>65</v>
      </c>
    </row>
    <row r="454" spans="1:15" x14ac:dyDescent="0.3">
      <c r="A454" t="s">
        <v>492</v>
      </c>
      <c r="B454" s="1">
        <v>45745</v>
      </c>
      <c r="C454" t="s">
        <v>1148</v>
      </c>
      <c r="D454" t="s">
        <v>71</v>
      </c>
      <c r="E454" t="s">
        <v>1251</v>
      </c>
      <c r="F454" t="s">
        <v>1326</v>
      </c>
      <c r="G454" t="s">
        <v>60</v>
      </c>
      <c r="H454" t="s">
        <v>51</v>
      </c>
      <c r="I454">
        <v>1</v>
      </c>
      <c r="J454" s="24">
        <v>73.16</v>
      </c>
      <c r="K454" s="24">
        <f t="shared" si="14"/>
        <v>73.16</v>
      </c>
      <c r="L454" s="24">
        <v>92.59</v>
      </c>
      <c r="M454" s="2">
        <f t="shared" si="15"/>
        <v>19.430000000000007</v>
      </c>
      <c r="N454" t="str">
        <v>Low</v>
      </c>
      <c r="O454" t="s">
        <v>63</v>
      </c>
    </row>
    <row r="455" spans="1:15" x14ac:dyDescent="0.3">
      <c r="A455" t="s">
        <v>493</v>
      </c>
      <c r="B455" s="1">
        <v>45746</v>
      </c>
      <c r="C455" t="s">
        <v>1123</v>
      </c>
      <c r="D455" t="s">
        <v>71</v>
      </c>
      <c r="E455" t="s">
        <v>1254</v>
      </c>
      <c r="F455" t="s">
        <v>1307</v>
      </c>
      <c r="G455" t="s">
        <v>60</v>
      </c>
      <c r="H455" t="s">
        <v>53</v>
      </c>
      <c r="I455">
        <v>3</v>
      </c>
      <c r="J455" s="24">
        <v>244.98</v>
      </c>
      <c r="K455" s="24">
        <f t="shared" si="14"/>
        <v>734.93999999999994</v>
      </c>
      <c r="L455" s="24">
        <v>1081.52</v>
      </c>
      <c r="M455" s="2">
        <f t="shared" si="15"/>
        <v>346.58000000000004</v>
      </c>
      <c r="N455" t="str">
        <v>Low</v>
      </c>
      <c r="O455" t="s">
        <v>63</v>
      </c>
    </row>
    <row r="456" spans="1:15" x14ac:dyDescent="0.3">
      <c r="A456" t="s">
        <v>494</v>
      </c>
      <c r="B456" s="1">
        <v>45747</v>
      </c>
      <c r="C456" t="s">
        <v>1110</v>
      </c>
      <c r="D456" t="s">
        <v>72</v>
      </c>
      <c r="E456" t="s">
        <v>1246</v>
      </c>
      <c r="F456" t="s">
        <v>1267</v>
      </c>
      <c r="G456" t="s">
        <v>60</v>
      </c>
      <c r="H456" t="s">
        <v>53</v>
      </c>
      <c r="I456">
        <v>6</v>
      </c>
      <c r="J456" s="24">
        <v>53.06</v>
      </c>
      <c r="K456" s="24">
        <f t="shared" si="14"/>
        <v>318.36</v>
      </c>
      <c r="L456" s="24">
        <v>371.59</v>
      </c>
      <c r="M456" s="2">
        <f t="shared" si="15"/>
        <v>53.229999999999961</v>
      </c>
      <c r="N456" t="str">
        <v>Low</v>
      </c>
      <c r="O456" t="s">
        <v>63</v>
      </c>
    </row>
    <row r="457" spans="1:15" x14ac:dyDescent="0.3">
      <c r="A457" t="s">
        <v>495</v>
      </c>
      <c r="B457" s="1">
        <v>45748</v>
      </c>
      <c r="C457" t="s">
        <v>1065</v>
      </c>
      <c r="D457" t="s">
        <v>71</v>
      </c>
      <c r="E457" t="s">
        <v>1254</v>
      </c>
      <c r="F457" t="s">
        <v>1322</v>
      </c>
      <c r="G457" t="s">
        <v>60</v>
      </c>
      <c r="H457" t="s">
        <v>51</v>
      </c>
      <c r="I457">
        <v>9</v>
      </c>
      <c r="J457" s="24">
        <v>274.45</v>
      </c>
      <c r="K457" s="24">
        <f t="shared" si="14"/>
        <v>2470.0499999999997</v>
      </c>
      <c r="L457" s="24">
        <v>3049.28</v>
      </c>
      <c r="M457" s="2">
        <f t="shared" si="15"/>
        <v>579.23000000000047</v>
      </c>
      <c r="N457" t="str">
        <v>High</v>
      </c>
      <c r="O457" t="s">
        <v>64</v>
      </c>
    </row>
    <row r="458" spans="1:15" x14ac:dyDescent="0.3">
      <c r="A458" t="s">
        <v>496</v>
      </c>
      <c r="B458" s="1">
        <v>45749</v>
      </c>
      <c r="C458" t="s">
        <v>1214</v>
      </c>
      <c r="D458" t="s">
        <v>71</v>
      </c>
      <c r="E458" t="s">
        <v>1248</v>
      </c>
      <c r="F458" t="s">
        <v>1329</v>
      </c>
      <c r="G458" t="s">
        <v>60</v>
      </c>
      <c r="H458" t="s">
        <v>53</v>
      </c>
      <c r="I458">
        <v>2</v>
      </c>
      <c r="J458" s="24">
        <v>185.55</v>
      </c>
      <c r="K458" s="24">
        <f t="shared" si="14"/>
        <v>371.1</v>
      </c>
      <c r="L458" s="24">
        <v>439.5</v>
      </c>
      <c r="M458" s="2">
        <f t="shared" si="15"/>
        <v>68.399999999999977</v>
      </c>
      <c r="N458" t="str">
        <v>Low</v>
      </c>
      <c r="O458" t="s">
        <v>65</v>
      </c>
    </row>
    <row r="459" spans="1:15" x14ac:dyDescent="0.3">
      <c r="A459" t="s">
        <v>497</v>
      </c>
      <c r="B459" s="1">
        <v>45750</v>
      </c>
      <c r="C459" t="s">
        <v>1080</v>
      </c>
      <c r="D459" t="s">
        <v>72</v>
      </c>
      <c r="E459" t="s">
        <v>1253</v>
      </c>
      <c r="F459" t="s">
        <v>1331</v>
      </c>
      <c r="G459" t="s">
        <v>60</v>
      </c>
      <c r="H459" t="s">
        <v>54</v>
      </c>
      <c r="I459">
        <v>8</v>
      </c>
      <c r="J459" s="24">
        <v>132.43</v>
      </c>
      <c r="K459" s="24">
        <f t="shared" si="14"/>
        <v>1059.44</v>
      </c>
      <c r="L459" s="24">
        <v>1546.29</v>
      </c>
      <c r="M459" s="2">
        <f t="shared" si="15"/>
        <v>486.84999999999991</v>
      </c>
      <c r="N459" t="str">
        <v>Low</v>
      </c>
      <c r="O459" t="s">
        <v>63</v>
      </c>
    </row>
    <row r="460" spans="1:15" x14ac:dyDescent="0.3">
      <c r="A460" t="s">
        <v>498</v>
      </c>
      <c r="B460" s="1">
        <v>45751</v>
      </c>
      <c r="C460" t="s">
        <v>1121</v>
      </c>
      <c r="D460" t="s">
        <v>71</v>
      </c>
      <c r="E460" t="s">
        <v>1248</v>
      </c>
      <c r="F460" t="s">
        <v>1291</v>
      </c>
      <c r="G460" t="s">
        <v>60</v>
      </c>
      <c r="H460" t="s">
        <v>53</v>
      </c>
      <c r="I460">
        <v>7</v>
      </c>
      <c r="J460" s="24">
        <v>70.69</v>
      </c>
      <c r="K460" s="24">
        <f t="shared" si="14"/>
        <v>494.83</v>
      </c>
      <c r="L460" s="24">
        <v>672.68</v>
      </c>
      <c r="M460" s="2">
        <f t="shared" si="15"/>
        <v>177.84999999999997</v>
      </c>
      <c r="N460" t="str">
        <v>Low</v>
      </c>
      <c r="O460" t="s">
        <v>63</v>
      </c>
    </row>
    <row r="461" spans="1:15" x14ac:dyDescent="0.3">
      <c r="A461" t="s">
        <v>499</v>
      </c>
      <c r="B461" s="1">
        <v>45752</v>
      </c>
      <c r="C461" t="s">
        <v>1170</v>
      </c>
      <c r="D461" t="s">
        <v>72</v>
      </c>
      <c r="E461" t="s">
        <v>1242</v>
      </c>
      <c r="F461" t="s">
        <v>1294</v>
      </c>
      <c r="G461" t="s">
        <v>60</v>
      </c>
      <c r="H461" t="s">
        <v>54</v>
      </c>
      <c r="I461">
        <v>5</v>
      </c>
      <c r="J461" s="24">
        <v>107.27</v>
      </c>
      <c r="K461" s="24">
        <f t="shared" si="14"/>
        <v>536.35</v>
      </c>
      <c r="L461" s="24">
        <v>626.96</v>
      </c>
      <c r="M461" s="2">
        <f t="shared" si="15"/>
        <v>90.610000000000014</v>
      </c>
      <c r="N461" t="str">
        <v>Low</v>
      </c>
      <c r="O461" t="s">
        <v>63</v>
      </c>
    </row>
    <row r="462" spans="1:15" x14ac:dyDescent="0.3">
      <c r="A462" t="s">
        <v>500</v>
      </c>
      <c r="B462" s="1">
        <v>45753</v>
      </c>
      <c r="C462" t="s">
        <v>1217</v>
      </c>
      <c r="D462" t="s">
        <v>72</v>
      </c>
      <c r="E462" t="s">
        <v>1253</v>
      </c>
      <c r="F462" t="s">
        <v>1318</v>
      </c>
      <c r="G462" t="s">
        <v>60</v>
      </c>
      <c r="H462" t="s">
        <v>53</v>
      </c>
      <c r="I462">
        <v>1</v>
      </c>
      <c r="J462" s="24">
        <v>205.92</v>
      </c>
      <c r="K462" s="24">
        <f t="shared" si="14"/>
        <v>205.92</v>
      </c>
      <c r="L462" s="24">
        <v>266.37</v>
      </c>
      <c r="M462" s="2">
        <f t="shared" si="15"/>
        <v>60.450000000000017</v>
      </c>
      <c r="N462" t="str">
        <v>Low</v>
      </c>
      <c r="O462" t="s">
        <v>65</v>
      </c>
    </row>
    <row r="463" spans="1:15" x14ac:dyDescent="0.3">
      <c r="A463" t="s">
        <v>501</v>
      </c>
      <c r="B463" s="1">
        <v>45754</v>
      </c>
      <c r="C463" t="s">
        <v>1218</v>
      </c>
      <c r="D463" t="s">
        <v>1255</v>
      </c>
      <c r="E463" t="s">
        <v>59</v>
      </c>
      <c r="F463" t="s">
        <v>1262</v>
      </c>
      <c r="G463" t="s">
        <v>60</v>
      </c>
      <c r="H463" t="s">
        <v>54</v>
      </c>
      <c r="I463">
        <v>6</v>
      </c>
      <c r="J463" s="24">
        <v>169.27</v>
      </c>
      <c r="K463" s="24">
        <f t="shared" si="14"/>
        <v>1015.6200000000001</v>
      </c>
      <c r="L463" s="24">
        <v>1335.8</v>
      </c>
      <c r="M463" s="2">
        <f t="shared" si="15"/>
        <v>320.17999999999984</v>
      </c>
      <c r="N463" t="str">
        <v>Low</v>
      </c>
      <c r="O463" t="s">
        <v>63</v>
      </c>
    </row>
    <row r="464" spans="1:15" x14ac:dyDescent="0.3">
      <c r="A464" t="s">
        <v>502</v>
      </c>
      <c r="B464" s="1">
        <v>45755</v>
      </c>
      <c r="C464" t="s">
        <v>1113</v>
      </c>
      <c r="D464" t="s">
        <v>71</v>
      </c>
      <c r="E464" t="s">
        <v>1248</v>
      </c>
      <c r="F464" t="s">
        <v>1301</v>
      </c>
      <c r="G464" t="s">
        <v>60</v>
      </c>
      <c r="H464" t="s">
        <v>53</v>
      </c>
      <c r="I464">
        <v>4</v>
      </c>
      <c r="J464" s="24">
        <v>210.37</v>
      </c>
      <c r="K464" s="24">
        <f t="shared" si="14"/>
        <v>841.48</v>
      </c>
      <c r="L464" s="24">
        <v>1168.49</v>
      </c>
      <c r="M464" s="2">
        <f t="shared" si="15"/>
        <v>327.01</v>
      </c>
      <c r="N464" t="str">
        <v>Low</v>
      </c>
      <c r="O464" t="s">
        <v>63</v>
      </c>
    </row>
    <row r="465" spans="1:15" x14ac:dyDescent="0.3">
      <c r="A465" t="s">
        <v>503</v>
      </c>
      <c r="B465" s="1">
        <v>45756</v>
      </c>
      <c r="C465" t="s">
        <v>1173</v>
      </c>
      <c r="D465" t="s">
        <v>72</v>
      </c>
      <c r="E465" t="s">
        <v>1253</v>
      </c>
      <c r="F465" t="s">
        <v>1331</v>
      </c>
      <c r="G465" t="s">
        <v>60</v>
      </c>
      <c r="H465" t="s">
        <v>52</v>
      </c>
      <c r="I465">
        <v>9</v>
      </c>
      <c r="J465" s="24">
        <v>326.83</v>
      </c>
      <c r="K465" s="24">
        <f t="shared" si="14"/>
        <v>2941.47</v>
      </c>
      <c r="L465" s="24">
        <v>3464.81</v>
      </c>
      <c r="M465" s="2">
        <f t="shared" si="15"/>
        <v>523.34000000000015</v>
      </c>
      <c r="N465" t="str">
        <v>High</v>
      </c>
      <c r="O465" t="s">
        <v>64</v>
      </c>
    </row>
    <row r="466" spans="1:15" x14ac:dyDescent="0.3">
      <c r="A466" t="s">
        <v>504</v>
      </c>
      <c r="B466" s="1">
        <v>45757</v>
      </c>
      <c r="C466" t="s">
        <v>1205</v>
      </c>
      <c r="D466" t="s">
        <v>74</v>
      </c>
      <c r="E466" t="s">
        <v>1249</v>
      </c>
      <c r="F466" t="s">
        <v>1324</v>
      </c>
      <c r="G466" t="s">
        <v>60</v>
      </c>
      <c r="H466" t="s">
        <v>52</v>
      </c>
      <c r="I466">
        <v>6</v>
      </c>
      <c r="J466" s="24">
        <v>440.28</v>
      </c>
      <c r="K466" s="24">
        <f t="shared" si="14"/>
        <v>2641.68</v>
      </c>
      <c r="L466" s="24">
        <v>3410.24</v>
      </c>
      <c r="M466" s="2">
        <f t="shared" si="15"/>
        <v>768.56</v>
      </c>
      <c r="N466" t="str">
        <v>High</v>
      </c>
      <c r="O466" t="s">
        <v>64</v>
      </c>
    </row>
    <row r="467" spans="1:15" x14ac:dyDescent="0.3">
      <c r="A467" t="s">
        <v>505</v>
      </c>
      <c r="B467" s="1">
        <v>45758</v>
      </c>
      <c r="C467" t="s">
        <v>1126</v>
      </c>
      <c r="D467" t="s">
        <v>73</v>
      </c>
      <c r="E467" t="s">
        <v>1252</v>
      </c>
      <c r="F467" t="s">
        <v>1278</v>
      </c>
      <c r="G467" t="s">
        <v>60</v>
      </c>
      <c r="H467" t="s">
        <v>54</v>
      </c>
      <c r="I467">
        <v>8</v>
      </c>
      <c r="J467" s="24">
        <v>138.07</v>
      </c>
      <c r="K467" s="24">
        <f t="shared" si="14"/>
        <v>1104.56</v>
      </c>
      <c r="L467" s="24">
        <v>1240.94</v>
      </c>
      <c r="M467" s="2">
        <f t="shared" si="15"/>
        <v>136.38000000000011</v>
      </c>
      <c r="N467" t="str">
        <v>Low</v>
      </c>
      <c r="O467" t="s">
        <v>63</v>
      </c>
    </row>
    <row r="468" spans="1:15" x14ac:dyDescent="0.3">
      <c r="A468" t="s">
        <v>506</v>
      </c>
      <c r="B468" s="1">
        <v>45759</v>
      </c>
      <c r="C468" t="s">
        <v>1059</v>
      </c>
      <c r="D468" t="s">
        <v>71</v>
      </c>
      <c r="E468" t="s">
        <v>1248</v>
      </c>
      <c r="F468" t="s">
        <v>1271</v>
      </c>
      <c r="G468" t="s">
        <v>60</v>
      </c>
      <c r="H468" t="s">
        <v>54</v>
      </c>
      <c r="I468">
        <v>8</v>
      </c>
      <c r="J468" s="24">
        <v>71.69</v>
      </c>
      <c r="K468" s="24">
        <f t="shared" si="14"/>
        <v>573.52</v>
      </c>
      <c r="L468" s="24">
        <v>663.08</v>
      </c>
      <c r="M468" s="2">
        <f t="shared" si="15"/>
        <v>89.560000000000059</v>
      </c>
      <c r="N468" t="str">
        <v>Low</v>
      </c>
      <c r="O468" t="s">
        <v>64</v>
      </c>
    </row>
    <row r="469" spans="1:15" x14ac:dyDescent="0.3">
      <c r="A469" t="s">
        <v>507</v>
      </c>
      <c r="B469" s="1">
        <v>45760</v>
      </c>
      <c r="C469" t="s">
        <v>1129</v>
      </c>
      <c r="D469" t="s">
        <v>72</v>
      </c>
      <c r="E469" t="s">
        <v>1246</v>
      </c>
      <c r="F469" t="s">
        <v>1300</v>
      </c>
      <c r="G469" t="s">
        <v>60</v>
      </c>
      <c r="H469" t="s">
        <v>51</v>
      </c>
      <c r="I469">
        <v>4</v>
      </c>
      <c r="J469" s="24">
        <v>449.03</v>
      </c>
      <c r="K469" s="24">
        <f t="shared" si="14"/>
        <v>1796.12</v>
      </c>
      <c r="L469" s="24">
        <v>2536.5500000000002</v>
      </c>
      <c r="M469" s="2">
        <f t="shared" si="15"/>
        <v>740.43000000000029</v>
      </c>
      <c r="N469" t="str">
        <v>High</v>
      </c>
      <c r="O469" t="s">
        <v>65</v>
      </c>
    </row>
    <row r="470" spans="1:15" x14ac:dyDescent="0.3">
      <c r="A470" t="s">
        <v>508</v>
      </c>
      <c r="B470" s="1">
        <v>45761</v>
      </c>
      <c r="C470" t="s">
        <v>1169</v>
      </c>
      <c r="D470" t="s">
        <v>72</v>
      </c>
      <c r="E470" t="s">
        <v>1246</v>
      </c>
      <c r="F470" t="s">
        <v>1300</v>
      </c>
      <c r="G470" t="s">
        <v>60</v>
      </c>
      <c r="H470" t="s">
        <v>52</v>
      </c>
      <c r="I470">
        <v>5</v>
      </c>
      <c r="J470" s="24">
        <v>108.53</v>
      </c>
      <c r="K470" s="24">
        <f t="shared" si="14"/>
        <v>542.65</v>
      </c>
      <c r="L470" s="24">
        <v>777.67</v>
      </c>
      <c r="M470" s="2">
        <f t="shared" si="15"/>
        <v>235.01999999999998</v>
      </c>
      <c r="N470" t="str">
        <v>Low</v>
      </c>
      <c r="O470" t="s">
        <v>65</v>
      </c>
    </row>
    <row r="471" spans="1:15" x14ac:dyDescent="0.3">
      <c r="A471" t="s">
        <v>509</v>
      </c>
      <c r="B471" s="1">
        <v>45762</v>
      </c>
      <c r="C471" t="s">
        <v>1081</v>
      </c>
      <c r="D471" t="s">
        <v>74</v>
      </c>
      <c r="E471" t="s">
        <v>1249</v>
      </c>
      <c r="F471" t="s">
        <v>1324</v>
      </c>
      <c r="G471" t="s">
        <v>60</v>
      </c>
      <c r="H471" t="s">
        <v>53</v>
      </c>
      <c r="I471">
        <v>9</v>
      </c>
      <c r="J471" s="24">
        <v>358.16</v>
      </c>
      <c r="K471" s="24">
        <f t="shared" si="14"/>
        <v>3223.44</v>
      </c>
      <c r="L471" s="24">
        <v>4472.4799999999996</v>
      </c>
      <c r="M471" s="2">
        <f t="shared" si="15"/>
        <v>1249.0399999999995</v>
      </c>
      <c r="N471" t="str">
        <v>High</v>
      </c>
      <c r="O471" t="s">
        <v>64</v>
      </c>
    </row>
    <row r="472" spans="1:15" x14ac:dyDescent="0.3">
      <c r="A472" t="s">
        <v>510</v>
      </c>
      <c r="B472" s="1">
        <v>45763</v>
      </c>
      <c r="C472" t="s">
        <v>1062</v>
      </c>
      <c r="D472" t="s">
        <v>74</v>
      </c>
      <c r="E472" t="s">
        <v>1249</v>
      </c>
      <c r="F472" t="s">
        <v>1325</v>
      </c>
      <c r="G472" t="s">
        <v>60</v>
      </c>
      <c r="H472" t="s">
        <v>51</v>
      </c>
      <c r="I472">
        <v>3</v>
      </c>
      <c r="J472" s="24">
        <v>380.01</v>
      </c>
      <c r="K472" s="24">
        <f t="shared" si="14"/>
        <v>1140.03</v>
      </c>
      <c r="L472" s="24">
        <v>1437.33</v>
      </c>
      <c r="M472" s="2">
        <f t="shared" si="15"/>
        <v>297.29999999999995</v>
      </c>
      <c r="N472" t="str">
        <v>Low</v>
      </c>
      <c r="O472" t="s">
        <v>63</v>
      </c>
    </row>
    <row r="473" spans="1:15" x14ac:dyDescent="0.3">
      <c r="A473" t="s">
        <v>511</v>
      </c>
      <c r="B473" s="1">
        <v>45764</v>
      </c>
      <c r="C473" t="s">
        <v>1131</v>
      </c>
      <c r="D473" t="s">
        <v>71</v>
      </c>
      <c r="E473" t="s">
        <v>1254</v>
      </c>
      <c r="F473" t="s">
        <v>1322</v>
      </c>
      <c r="G473" t="s">
        <v>60</v>
      </c>
      <c r="H473" t="s">
        <v>54</v>
      </c>
      <c r="I473">
        <v>10</v>
      </c>
      <c r="J473" s="24">
        <v>258.70999999999998</v>
      </c>
      <c r="K473" s="24">
        <f t="shared" si="14"/>
        <v>2587.1</v>
      </c>
      <c r="L473" s="24">
        <v>2959.7</v>
      </c>
      <c r="M473" s="2">
        <f t="shared" si="15"/>
        <v>372.59999999999991</v>
      </c>
      <c r="N473" t="str">
        <v>High</v>
      </c>
      <c r="O473" t="s">
        <v>63</v>
      </c>
    </row>
    <row r="474" spans="1:15" x14ac:dyDescent="0.3">
      <c r="A474" t="s">
        <v>512</v>
      </c>
      <c r="B474" s="1">
        <v>45765</v>
      </c>
      <c r="C474" t="s">
        <v>1219</v>
      </c>
      <c r="D474" t="s">
        <v>71</v>
      </c>
      <c r="E474" t="s">
        <v>1248</v>
      </c>
      <c r="F474" t="s">
        <v>1329</v>
      </c>
      <c r="G474" t="s">
        <v>60</v>
      </c>
      <c r="H474" t="s">
        <v>51</v>
      </c>
      <c r="I474">
        <v>6</v>
      </c>
      <c r="J474" s="24">
        <v>305.94</v>
      </c>
      <c r="K474" s="24">
        <f t="shared" si="14"/>
        <v>1835.6399999999999</v>
      </c>
      <c r="L474" s="24">
        <v>2558.9299999999998</v>
      </c>
      <c r="M474" s="2">
        <f t="shared" si="15"/>
        <v>723.29</v>
      </c>
      <c r="N474" t="str">
        <v>High</v>
      </c>
      <c r="O474" t="s">
        <v>65</v>
      </c>
    </row>
    <row r="475" spans="1:15" x14ac:dyDescent="0.3">
      <c r="A475" t="s">
        <v>513</v>
      </c>
      <c r="B475" s="1">
        <v>45766</v>
      </c>
      <c r="C475" t="s">
        <v>1215</v>
      </c>
      <c r="D475" t="s">
        <v>72</v>
      </c>
      <c r="E475" t="s">
        <v>1253</v>
      </c>
      <c r="F475" t="s">
        <v>1313</v>
      </c>
      <c r="G475" t="s">
        <v>60</v>
      </c>
      <c r="H475" t="s">
        <v>53</v>
      </c>
      <c r="I475">
        <v>4</v>
      </c>
      <c r="J475" s="24">
        <v>295.31</v>
      </c>
      <c r="K475" s="24">
        <f t="shared" si="14"/>
        <v>1181.24</v>
      </c>
      <c r="L475" s="24">
        <v>1734.08</v>
      </c>
      <c r="M475" s="2">
        <f t="shared" si="15"/>
        <v>552.83999999999992</v>
      </c>
      <c r="N475" t="str">
        <v>Low</v>
      </c>
      <c r="O475" t="s">
        <v>63</v>
      </c>
    </row>
    <row r="476" spans="1:15" x14ac:dyDescent="0.3">
      <c r="A476" t="s">
        <v>514</v>
      </c>
      <c r="B476" s="1">
        <v>45767</v>
      </c>
      <c r="C476" t="s">
        <v>1067</v>
      </c>
      <c r="D476" t="s">
        <v>71</v>
      </c>
      <c r="E476" t="s">
        <v>1248</v>
      </c>
      <c r="F476" t="s">
        <v>1329</v>
      </c>
      <c r="G476" t="s">
        <v>60</v>
      </c>
      <c r="H476" t="s">
        <v>54</v>
      </c>
      <c r="I476">
        <v>3</v>
      </c>
      <c r="J476" s="24">
        <v>462.91</v>
      </c>
      <c r="K476" s="24">
        <f t="shared" si="14"/>
        <v>1388.73</v>
      </c>
      <c r="L476" s="24">
        <v>1785.67</v>
      </c>
      <c r="M476" s="2">
        <f t="shared" si="15"/>
        <v>396.94000000000005</v>
      </c>
      <c r="N476" t="str">
        <v>Low</v>
      </c>
      <c r="O476" t="s">
        <v>64</v>
      </c>
    </row>
    <row r="477" spans="1:15" x14ac:dyDescent="0.3">
      <c r="A477" t="s">
        <v>515</v>
      </c>
      <c r="B477" s="1">
        <v>45768</v>
      </c>
      <c r="C477" t="s">
        <v>1125</v>
      </c>
      <c r="D477" t="s">
        <v>72</v>
      </c>
      <c r="E477" t="s">
        <v>1253</v>
      </c>
      <c r="F477" t="s">
        <v>1281</v>
      </c>
      <c r="G477" t="s">
        <v>60</v>
      </c>
      <c r="H477" t="s">
        <v>54</v>
      </c>
      <c r="I477">
        <v>6</v>
      </c>
      <c r="J477" s="24">
        <v>478.85</v>
      </c>
      <c r="K477" s="24">
        <f t="shared" si="14"/>
        <v>2873.1000000000004</v>
      </c>
      <c r="L477" s="24">
        <v>3691.56</v>
      </c>
      <c r="M477" s="2">
        <f t="shared" si="15"/>
        <v>818.45999999999958</v>
      </c>
      <c r="N477" t="str">
        <v>High</v>
      </c>
      <c r="O477" t="s">
        <v>63</v>
      </c>
    </row>
    <row r="478" spans="1:15" x14ac:dyDescent="0.3">
      <c r="A478" t="s">
        <v>516</v>
      </c>
      <c r="B478" s="1">
        <v>45769</v>
      </c>
      <c r="C478" t="s">
        <v>1133</v>
      </c>
      <c r="D478" t="s">
        <v>71</v>
      </c>
      <c r="E478" t="s">
        <v>1254</v>
      </c>
      <c r="F478" t="s">
        <v>1304</v>
      </c>
      <c r="G478" t="s">
        <v>60</v>
      </c>
      <c r="H478" t="s">
        <v>52</v>
      </c>
      <c r="I478">
        <v>1</v>
      </c>
      <c r="J478" s="24">
        <v>285.2</v>
      </c>
      <c r="K478" s="24">
        <f t="shared" si="14"/>
        <v>285.2</v>
      </c>
      <c r="L478" s="24">
        <v>383.88</v>
      </c>
      <c r="M478" s="2">
        <f t="shared" si="15"/>
        <v>98.68</v>
      </c>
      <c r="N478" t="str">
        <v>Low</v>
      </c>
      <c r="O478" t="s">
        <v>64</v>
      </c>
    </row>
    <row r="479" spans="1:15" x14ac:dyDescent="0.3">
      <c r="A479" t="s">
        <v>517</v>
      </c>
      <c r="B479" s="1">
        <v>45770</v>
      </c>
      <c r="C479" t="s">
        <v>1220</v>
      </c>
      <c r="D479" t="s">
        <v>73</v>
      </c>
      <c r="E479" t="s">
        <v>1252</v>
      </c>
      <c r="F479" t="s">
        <v>1317</v>
      </c>
      <c r="G479" t="s">
        <v>60</v>
      </c>
      <c r="H479" t="s">
        <v>53</v>
      </c>
      <c r="I479">
        <v>7</v>
      </c>
      <c r="J479" s="24">
        <v>177.78</v>
      </c>
      <c r="K479" s="24">
        <f t="shared" si="14"/>
        <v>1244.46</v>
      </c>
      <c r="L479" s="24">
        <v>1643.15</v>
      </c>
      <c r="M479" s="2">
        <f t="shared" si="15"/>
        <v>398.69000000000005</v>
      </c>
      <c r="N479" t="str">
        <v>Low</v>
      </c>
      <c r="O479" t="s">
        <v>63</v>
      </c>
    </row>
    <row r="480" spans="1:15" x14ac:dyDescent="0.3">
      <c r="A480" t="s">
        <v>518</v>
      </c>
      <c r="B480" s="1">
        <v>45771</v>
      </c>
      <c r="C480" t="s">
        <v>1206</v>
      </c>
      <c r="D480" t="s">
        <v>73</v>
      </c>
      <c r="E480" t="s">
        <v>1243</v>
      </c>
      <c r="F480" t="s">
        <v>1290</v>
      </c>
      <c r="G480" t="s">
        <v>60</v>
      </c>
      <c r="H480" t="s">
        <v>53</v>
      </c>
      <c r="I480">
        <v>4</v>
      </c>
      <c r="J480" s="24">
        <v>417.25</v>
      </c>
      <c r="K480" s="24">
        <f t="shared" si="14"/>
        <v>1669</v>
      </c>
      <c r="L480" s="24">
        <v>2373.54</v>
      </c>
      <c r="M480" s="2">
        <f t="shared" si="15"/>
        <v>704.54</v>
      </c>
      <c r="N480" t="str">
        <v>High</v>
      </c>
      <c r="O480" t="s">
        <v>64</v>
      </c>
    </row>
    <row r="481" spans="1:15" x14ac:dyDescent="0.3">
      <c r="A481" t="s">
        <v>519</v>
      </c>
      <c r="B481" s="1">
        <v>45772</v>
      </c>
      <c r="C481" t="s">
        <v>1096</v>
      </c>
      <c r="D481" t="s">
        <v>71</v>
      </c>
      <c r="E481" t="s">
        <v>1251</v>
      </c>
      <c r="F481" t="s">
        <v>1320</v>
      </c>
      <c r="G481" t="s">
        <v>60</v>
      </c>
      <c r="H481" t="s">
        <v>53</v>
      </c>
      <c r="I481">
        <v>5</v>
      </c>
      <c r="J481" s="24">
        <v>182.38</v>
      </c>
      <c r="K481" s="24">
        <f t="shared" si="14"/>
        <v>911.9</v>
      </c>
      <c r="L481" s="24">
        <v>1098.04</v>
      </c>
      <c r="M481" s="2">
        <f t="shared" si="15"/>
        <v>186.14</v>
      </c>
      <c r="N481" t="str">
        <v>Low</v>
      </c>
      <c r="O481" t="s">
        <v>65</v>
      </c>
    </row>
    <row r="482" spans="1:15" x14ac:dyDescent="0.3">
      <c r="A482" t="s">
        <v>520</v>
      </c>
      <c r="B482" s="1">
        <v>45773</v>
      </c>
      <c r="C482" t="s">
        <v>1119</v>
      </c>
      <c r="D482" t="s">
        <v>73</v>
      </c>
      <c r="E482" t="s">
        <v>1243</v>
      </c>
      <c r="F482" t="s">
        <v>1272</v>
      </c>
      <c r="G482" t="s">
        <v>60</v>
      </c>
      <c r="H482" t="s">
        <v>51</v>
      </c>
      <c r="I482">
        <v>1</v>
      </c>
      <c r="J482" s="24">
        <v>258.97000000000003</v>
      </c>
      <c r="K482" s="24">
        <f t="shared" si="14"/>
        <v>258.97000000000003</v>
      </c>
      <c r="L482" s="24">
        <v>328.63</v>
      </c>
      <c r="M482" s="2">
        <f t="shared" si="15"/>
        <v>69.659999999999968</v>
      </c>
      <c r="N482" t="str">
        <v>Low</v>
      </c>
      <c r="O482" t="s">
        <v>65</v>
      </c>
    </row>
    <row r="483" spans="1:15" x14ac:dyDescent="0.3">
      <c r="A483" t="s">
        <v>521</v>
      </c>
      <c r="B483" s="1">
        <v>45774</v>
      </c>
      <c r="C483" t="s">
        <v>1201</v>
      </c>
      <c r="D483" t="s">
        <v>71</v>
      </c>
      <c r="E483" t="s">
        <v>1240</v>
      </c>
      <c r="F483" t="s">
        <v>1258</v>
      </c>
      <c r="G483" t="s">
        <v>60</v>
      </c>
      <c r="H483" t="s">
        <v>54</v>
      </c>
      <c r="I483">
        <v>10</v>
      </c>
      <c r="J483" s="24">
        <v>333.75</v>
      </c>
      <c r="K483" s="24">
        <f t="shared" si="14"/>
        <v>3337.5</v>
      </c>
      <c r="L483" s="24">
        <v>3999.94</v>
      </c>
      <c r="M483" s="2">
        <f t="shared" si="15"/>
        <v>662.44</v>
      </c>
      <c r="N483" t="str">
        <v>High</v>
      </c>
      <c r="O483" t="s">
        <v>63</v>
      </c>
    </row>
    <row r="484" spans="1:15" x14ac:dyDescent="0.3">
      <c r="A484" t="s">
        <v>522</v>
      </c>
      <c r="B484" s="1">
        <v>45775</v>
      </c>
      <c r="C484" t="s">
        <v>1047</v>
      </c>
      <c r="D484" t="s">
        <v>72</v>
      </c>
      <c r="E484" t="s">
        <v>1246</v>
      </c>
      <c r="F484" t="s">
        <v>1293</v>
      </c>
      <c r="G484" t="s">
        <v>60</v>
      </c>
      <c r="H484" t="s">
        <v>52</v>
      </c>
      <c r="I484">
        <v>2</v>
      </c>
      <c r="J484" s="24">
        <v>437.12</v>
      </c>
      <c r="K484" s="24">
        <f t="shared" si="14"/>
        <v>874.24</v>
      </c>
      <c r="L484" s="24">
        <v>1007.48</v>
      </c>
      <c r="M484" s="2">
        <f t="shared" si="15"/>
        <v>133.24</v>
      </c>
      <c r="N484" t="str">
        <v>Low</v>
      </c>
      <c r="O484" t="s">
        <v>65</v>
      </c>
    </row>
    <row r="485" spans="1:15" x14ac:dyDescent="0.3">
      <c r="A485" t="s">
        <v>523</v>
      </c>
      <c r="B485" s="1">
        <v>45776</v>
      </c>
      <c r="C485" t="s">
        <v>1200</v>
      </c>
      <c r="D485" t="s">
        <v>71</v>
      </c>
      <c r="E485" t="s">
        <v>1251</v>
      </c>
      <c r="F485" t="s">
        <v>1279</v>
      </c>
      <c r="G485" t="s">
        <v>60</v>
      </c>
      <c r="H485" t="s">
        <v>52</v>
      </c>
      <c r="I485">
        <v>2</v>
      </c>
      <c r="J485" s="24">
        <v>323.05</v>
      </c>
      <c r="K485" s="24">
        <f t="shared" si="14"/>
        <v>646.1</v>
      </c>
      <c r="L485" s="24">
        <v>726.13</v>
      </c>
      <c r="M485" s="2">
        <f t="shared" si="15"/>
        <v>80.029999999999973</v>
      </c>
      <c r="N485" t="str">
        <v>Low</v>
      </c>
      <c r="O485" t="s">
        <v>63</v>
      </c>
    </row>
    <row r="486" spans="1:15" x14ac:dyDescent="0.3">
      <c r="A486" t="s">
        <v>524</v>
      </c>
      <c r="B486" s="1">
        <v>45777</v>
      </c>
      <c r="C486" t="s">
        <v>1202</v>
      </c>
      <c r="D486" t="s">
        <v>73</v>
      </c>
      <c r="E486" t="s">
        <v>1252</v>
      </c>
      <c r="F486" t="s">
        <v>1289</v>
      </c>
      <c r="G486" t="s">
        <v>60</v>
      </c>
      <c r="H486" t="s">
        <v>53</v>
      </c>
      <c r="I486">
        <v>8</v>
      </c>
      <c r="J486" s="24">
        <v>246.48</v>
      </c>
      <c r="K486" s="24">
        <f t="shared" si="14"/>
        <v>1971.84</v>
      </c>
      <c r="L486" s="24">
        <v>2874.86</v>
      </c>
      <c r="M486" s="2">
        <f t="shared" si="15"/>
        <v>903.02000000000021</v>
      </c>
      <c r="N486" t="str">
        <v>High</v>
      </c>
      <c r="O486" t="s">
        <v>64</v>
      </c>
    </row>
    <row r="487" spans="1:15" x14ac:dyDescent="0.3">
      <c r="A487" t="s">
        <v>525</v>
      </c>
      <c r="B487" s="1">
        <v>45778</v>
      </c>
      <c r="C487" t="s">
        <v>1067</v>
      </c>
      <c r="D487" t="s">
        <v>73</v>
      </c>
      <c r="E487" t="s">
        <v>1252</v>
      </c>
      <c r="F487" t="s">
        <v>1289</v>
      </c>
      <c r="G487" t="s">
        <v>60</v>
      </c>
      <c r="H487" t="s">
        <v>52</v>
      </c>
      <c r="I487">
        <v>3</v>
      </c>
      <c r="J487" s="24">
        <v>353.38</v>
      </c>
      <c r="K487" s="24">
        <f t="shared" si="14"/>
        <v>1060.1399999999999</v>
      </c>
      <c r="L487" s="24">
        <v>1486.6</v>
      </c>
      <c r="M487" s="2">
        <f t="shared" si="15"/>
        <v>426.46000000000004</v>
      </c>
      <c r="N487" t="str">
        <v>Low</v>
      </c>
      <c r="O487" t="s">
        <v>64</v>
      </c>
    </row>
    <row r="488" spans="1:15" x14ac:dyDescent="0.3">
      <c r="A488" t="s">
        <v>526</v>
      </c>
      <c r="B488" s="1">
        <v>45779</v>
      </c>
      <c r="C488" t="s">
        <v>1200</v>
      </c>
      <c r="D488" t="s">
        <v>73</v>
      </c>
      <c r="E488" t="s">
        <v>1250</v>
      </c>
      <c r="F488" t="s">
        <v>1302</v>
      </c>
      <c r="G488" t="s">
        <v>60</v>
      </c>
      <c r="H488" t="s">
        <v>54</v>
      </c>
      <c r="I488">
        <v>4</v>
      </c>
      <c r="J488" s="24">
        <v>93.38</v>
      </c>
      <c r="K488" s="24">
        <f t="shared" si="14"/>
        <v>373.52</v>
      </c>
      <c r="L488" s="24">
        <v>438.48</v>
      </c>
      <c r="M488" s="2">
        <f t="shared" si="15"/>
        <v>64.960000000000036</v>
      </c>
      <c r="N488" t="str">
        <v>Low</v>
      </c>
      <c r="O488" t="s">
        <v>65</v>
      </c>
    </row>
    <row r="489" spans="1:15" x14ac:dyDescent="0.3">
      <c r="A489" t="s">
        <v>527</v>
      </c>
      <c r="B489" s="1">
        <v>45780</v>
      </c>
      <c r="C489" t="s">
        <v>1167</v>
      </c>
      <c r="D489" t="s">
        <v>1255</v>
      </c>
      <c r="E489" t="s">
        <v>59</v>
      </c>
      <c r="F489" t="s">
        <v>1266</v>
      </c>
      <c r="G489" t="s">
        <v>60</v>
      </c>
      <c r="H489" t="s">
        <v>53</v>
      </c>
      <c r="I489">
        <v>1</v>
      </c>
      <c r="J489" s="24">
        <v>298.13</v>
      </c>
      <c r="K489" s="24">
        <f t="shared" si="14"/>
        <v>298.13</v>
      </c>
      <c r="L489" s="24">
        <v>333.87</v>
      </c>
      <c r="M489" s="2">
        <f t="shared" si="15"/>
        <v>35.740000000000009</v>
      </c>
      <c r="N489" t="str">
        <v>Low</v>
      </c>
      <c r="O489" t="s">
        <v>63</v>
      </c>
    </row>
    <row r="490" spans="1:15" x14ac:dyDescent="0.3">
      <c r="A490" t="s">
        <v>528</v>
      </c>
      <c r="B490" s="1">
        <v>45781</v>
      </c>
      <c r="C490" t="s">
        <v>1053</v>
      </c>
      <c r="D490" t="s">
        <v>72</v>
      </c>
      <c r="E490" t="s">
        <v>1242</v>
      </c>
      <c r="F490" t="s">
        <v>1294</v>
      </c>
      <c r="G490" t="s">
        <v>60</v>
      </c>
      <c r="H490" t="s">
        <v>53</v>
      </c>
      <c r="I490">
        <v>9</v>
      </c>
      <c r="J490" s="24">
        <v>219.13</v>
      </c>
      <c r="K490" s="24">
        <f t="shared" si="14"/>
        <v>1972.17</v>
      </c>
      <c r="L490" s="24">
        <v>2289.2600000000002</v>
      </c>
      <c r="M490" s="2">
        <f t="shared" si="15"/>
        <v>317.09000000000015</v>
      </c>
      <c r="N490" t="str">
        <v>High</v>
      </c>
      <c r="O490" t="s">
        <v>63</v>
      </c>
    </row>
    <row r="491" spans="1:15" x14ac:dyDescent="0.3">
      <c r="A491" t="s">
        <v>529</v>
      </c>
      <c r="B491" s="1">
        <v>45782</v>
      </c>
      <c r="C491" t="s">
        <v>1193</v>
      </c>
      <c r="D491" t="s">
        <v>1255</v>
      </c>
      <c r="E491" t="s">
        <v>59</v>
      </c>
      <c r="F491" t="s">
        <v>1295</v>
      </c>
      <c r="G491" t="s">
        <v>60</v>
      </c>
      <c r="H491" t="s">
        <v>52</v>
      </c>
      <c r="I491">
        <v>5</v>
      </c>
      <c r="J491" s="24">
        <v>372.01</v>
      </c>
      <c r="K491" s="24">
        <f t="shared" si="14"/>
        <v>1860.05</v>
      </c>
      <c r="L491" s="24">
        <v>2390.14</v>
      </c>
      <c r="M491" s="2">
        <f t="shared" si="15"/>
        <v>530.08999999999992</v>
      </c>
      <c r="N491" t="str">
        <v>High</v>
      </c>
      <c r="O491" t="s">
        <v>64</v>
      </c>
    </row>
    <row r="492" spans="1:15" x14ac:dyDescent="0.3">
      <c r="A492" t="s">
        <v>530</v>
      </c>
      <c r="B492" s="1">
        <v>45783</v>
      </c>
      <c r="C492" t="s">
        <v>1217</v>
      </c>
      <c r="D492" t="s">
        <v>74</v>
      </c>
      <c r="E492" t="s">
        <v>1247</v>
      </c>
      <c r="F492" t="s">
        <v>1327</v>
      </c>
      <c r="G492" t="s">
        <v>60</v>
      </c>
      <c r="H492" t="s">
        <v>52</v>
      </c>
      <c r="I492">
        <v>8</v>
      </c>
      <c r="J492" s="24">
        <v>360.44</v>
      </c>
      <c r="K492" s="24">
        <f t="shared" si="14"/>
        <v>2883.52</v>
      </c>
      <c r="L492" s="24">
        <v>4280.25</v>
      </c>
      <c r="M492" s="2">
        <f t="shared" si="15"/>
        <v>1396.73</v>
      </c>
      <c r="N492" t="str">
        <v>High</v>
      </c>
      <c r="O492" t="s">
        <v>65</v>
      </c>
    </row>
    <row r="493" spans="1:15" x14ac:dyDescent="0.3">
      <c r="A493" t="s">
        <v>531</v>
      </c>
      <c r="B493" s="1">
        <v>45784</v>
      </c>
      <c r="C493" t="s">
        <v>1059</v>
      </c>
      <c r="D493" t="s">
        <v>74</v>
      </c>
      <c r="E493" t="s">
        <v>1247</v>
      </c>
      <c r="F493" t="s">
        <v>1316</v>
      </c>
      <c r="G493" t="s">
        <v>60</v>
      </c>
      <c r="H493" t="s">
        <v>54</v>
      </c>
      <c r="I493">
        <v>7</v>
      </c>
      <c r="J493" s="24">
        <v>392.83</v>
      </c>
      <c r="K493" s="24">
        <f t="shared" si="14"/>
        <v>2749.81</v>
      </c>
      <c r="L493" s="24">
        <v>3479.8</v>
      </c>
      <c r="M493" s="2">
        <f t="shared" si="15"/>
        <v>729.99000000000024</v>
      </c>
      <c r="N493" t="str">
        <v>High</v>
      </c>
      <c r="O493" t="s">
        <v>65</v>
      </c>
    </row>
    <row r="494" spans="1:15" x14ac:dyDescent="0.3">
      <c r="A494" t="s">
        <v>532</v>
      </c>
      <c r="B494" s="1">
        <v>45785</v>
      </c>
      <c r="C494" t="s">
        <v>1221</v>
      </c>
      <c r="D494" t="s">
        <v>72</v>
      </c>
      <c r="E494" t="s">
        <v>1253</v>
      </c>
      <c r="F494" t="s">
        <v>1298</v>
      </c>
      <c r="G494" t="s">
        <v>60</v>
      </c>
      <c r="H494" t="s">
        <v>51</v>
      </c>
      <c r="I494">
        <v>5</v>
      </c>
      <c r="J494" s="24">
        <v>188.14</v>
      </c>
      <c r="K494" s="24">
        <f t="shared" si="14"/>
        <v>940.69999999999993</v>
      </c>
      <c r="L494" s="24">
        <v>1269.67</v>
      </c>
      <c r="M494" s="2">
        <f t="shared" si="15"/>
        <v>328.97000000000014</v>
      </c>
      <c r="N494" t="str">
        <v>Low</v>
      </c>
      <c r="O494" t="s">
        <v>64</v>
      </c>
    </row>
    <row r="495" spans="1:15" x14ac:dyDescent="0.3">
      <c r="A495" t="s">
        <v>533</v>
      </c>
      <c r="B495" s="1">
        <v>45786</v>
      </c>
      <c r="C495" t="s">
        <v>1113</v>
      </c>
      <c r="D495" t="s">
        <v>72</v>
      </c>
      <c r="E495" t="s">
        <v>1242</v>
      </c>
      <c r="F495" t="s">
        <v>1332</v>
      </c>
      <c r="G495" t="s">
        <v>60</v>
      </c>
      <c r="H495" t="s">
        <v>52</v>
      </c>
      <c r="I495">
        <v>6</v>
      </c>
      <c r="J495" s="24">
        <v>103.7</v>
      </c>
      <c r="K495" s="24">
        <f t="shared" si="14"/>
        <v>622.20000000000005</v>
      </c>
      <c r="L495" s="24">
        <v>932.89</v>
      </c>
      <c r="M495" s="2">
        <f t="shared" si="15"/>
        <v>310.68999999999994</v>
      </c>
      <c r="N495" t="str">
        <v>Low</v>
      </c>
      <c r="O495" t="s">
        <v>64</v>
      </c>
    </row>
    <row r="496" spans="1:15" x14ac:dyDescent="0.3">
      <c r="A496" t="s">
        <v>534</v>
      </c>
      <c r="B496" s="1">
        <v>45787</v>
      </c>
      <c r="C496" t="s">
        <v>1222</v>
      </c>
      <c r="D496" t="s">
        <v>74</v>
      </c>
      <c r="E496" t="s">
        <v>1249</v>
      </c>
      <c r="F496" t="s">
        <v>1270</v>
      </c>
      <c r="G496" t="s">
        <v>60</v>
      </c>
      <c r="H496" t="s">
        <v>53</v>
      </c>
      <c r="I496">
        <v>9</v>
      </c>
      <c r="J496" s="24">
        <v>304.17</v>
      </c>
      <c r="K496" s="24">
        <f t="shared" si="14"/>
        <v>2737.53</v>
      </c>
      <c r="L496" s="24">
        <v>3428.27</v>
      </c>
      <c r="M496" s="2">
        <f t="shared" si="15"/>
        <v>690.73999999999978</v>
      </c>
      <c r="N496" t="str">
        <v>High</v>
      </c>
      <c r="O496" t="s">
        <v>63</v>
      </c>
    </row>
    <row r="497" spans="1:15" x14ac:dyDescent="0.3">
      <c r="A497" t="s">
        <v>535</v>
      </c>
      <c r="B497" s="1">
        <v>45788</v>
      </c>
      <c r="C497" t="s">
        <v>1083</v>
      </c>
      <c r="D497" t="s">
        <v>72</v>
      </c>
      <c r="E497" t="s">
        <v>1246</v>
      </c>
      <c r="F497" t="s">
        <v>1282</v>
      </c>
      <c r="G497" t="s">
        <v>60</v>
      </c>
      <c r="H497" t="s">
        <v>53</v>
      </c>
      <c r="I497">
        <v>8</v>
      </c>
      <c r="J497" s="24">
        <v>172.1</v>
      </c>
      <c r="K497" s="24">
        <f t="shared" si="14"/>
        <v>1376.8</v>
      </c>
      <c r="L497" s="24">
        <v>1759.52</v>
      </c>
      <c r="M497" s="2">
        <f t="shared" si="15"/>
        <v>382.72</v>
      </c>
      <c r="N497" t="str">
        <v>Low</v>
      </c>
      <c r="O497" t="s">
        <v>65</v>
      </c>
    </row>
    <row r="498" spans="1:15" x14ac:dyDescent="0.3">
      <c r="A498" t="s">
        <v>536</v>
      </c>
      <c r="B498" s="1">
        <v>45789</v>
      </c>
      <c r="C498" t="s">
        <v>1223</v>
      </c>
      <c r="D498" t="s">
        <v>72</v>
      </c>
      <c r="E498" t="s">
        <v>1246</v>
      </c>
      <c r="F498" t="s">
        <v>1282</v>
      </c>
      <c r="G498" t="s">
        <v>60</v>
      </c>
      <c r="H498" t="s">
        <v>54</v>
      </c>
      <c r="I498">
        <v>3</v>
      </c>
      <c r="J498" s="24">
        <v>244.27</v>
      </c>
      <c r="K498" s="24">
        <f t="shared" si="14"/>
        <v>732.81000000000006</v>
      </c>
      <c r="L498" s="24">
        <v>962.54</v>
      </c>
      <c r="M498" s="2">
        <f t="shared" si="15"/>
        <v>229.7299999999999</v>
      </c>
      <c r="N498" t="str">
        <v>Low</v>
      </c>
      <c r="O498" t="s">
        <v>64</v>
      </c>
    </row>
    <row r="499" spans="1:15" x14ac:dyDescent="0.3">
      <c r="A499" t="s">
        <v>537</v>
      </c>
      <c r="B499" s="1">
        <v>45790</v>
      </c>
      <c r="C499" t="s">
        <v>1072</v>
      </c>
      <c r="D499" t="s">
        <v>74</v>
      </c>
      <c r="E499" t="s">
        <v>1244</v>
      </c>
      <c r="F499" t="s">
        <v>1314</v>
      </c>
      <c r="G499" t="s">
        <v>60</v>
      </c>
      <c r="H499" t="s">
        <v>53</v>
      </c>
      <c r="I499">
        <v>9</v>
      </c>
      <c r="J499" s="24">
        <v>152.37</v>
      </c>
      <c r="K499" s="24">
        <f t="shared" si="14"/>
        <v>1371.33</v>
      </c>
      <c r="L499" s="24">
        <v>1714.07</v>
      </c>
      <c r="M499" s="2">
        <f t="shared" si="15"/>
        <v>342.74</v>
      </c>
      <c r="N499" t="str">
        <v>Low</v>
      </c>
      <c r="O499" t="s">
        <v>64</v>
      </c>
    </row>
    <row r="500" spans="1:15" x14ac:dyDescent="0.3">
      <c r="A500" t="s">
        <v>538</v>
      </c>
      <c r="B500" s="1">
        <v>45791</v>
      </c>
      <c r="C500" t="s">
        <v>1172</v>
      </c>
      <c r="D500" t="s">
        <v>71</v>
      </c>
      <c r="E500" t="s">
        <v>1251</v>
      </c>
      <c r="F500" t="s">
        <v>1276</v>
      </c>
      <c r="G500" t="s">
        <v>60</v>
      </c>
      <c r="H500" t="s">
        <v>51</v>
      </c>
      <c r="I500">
        <v>10</v>
      </c>
      <c r="J500" s="24">
        <v>455.3</v>
      </c>
      <c r="K500" s="24">
        <f t="shared" si="14"/>
        <v>4553</v>
      </c>
      <c r="L500" s="24">
        <v>6310.23</v>
      </c>
      <c r="M500" s="2">
        <f t="shared" si="15"/>
        <v>1757.2299999999996</v>
      </c>
      <c r="N500" t="str">
        <v>High</v>
      </c>
      <c r="O500" t="s">
        <v>65</v>
      </c>
    </row>
    <row r="501" spans="1:15" x14ac:dyDescent="0.3">
      <c r="A501" t="s">
        <v>539</v>
      </c>
      <c r="B501" s="1">
        <v>45792</v>
      </c>
      <c r="C501" t="s">
        <v>1052</v>
      </c>
      <c r="D501" t="s">
        <v>74</v>
      </c>
      <c r="E501" t="s">
        <v>1247</v>
      </c>
      <c r="F501" t="s">
        <v>1316</v>
      </c>
      <c r="G501" t="s">
        <v>60</v>
      </c>
      <c r="H501" t="s">
        <v>51</v>
      </c>
      <c r="I501">
        <v>6</v>
      </c>
      <c r="J501" s="24">
        <v>104.34</v>
      </c>
      <c r="K501" s="24">
        <f t="shared" si="14"/>
        <v>626.04</v>
      </c>
      <c r="L501" s="24">
        <v>789.43</v>
      </c>
      <c r="M501" s="2">
        <f t="shared" si="15"/>
        <v>163.38999999999999</v>
      </c>
      <c r="N501" t="str">
        <v>Low</v>
      </c>
      <c r="O501" t="s">
        <v>65</v>
      </c>
    </row>
    <row r="502" spans="1:15" x14ac:dyDescent="0.3">
      <c r="A502" t="s">
        <v>540</v>
      </c>
      <c r="B502" s="1">
        <v>45793</v>
      </c>
      <c r="C502" t="s">
        <v>1139</v>
      </c>
      <c r="D502" t="s">
        <v>72</v>
      </c>
      <c r="E502" t="s">
        <v>1246</v>
      </c>
      <c r="F502" t="s">
        <v>1282</v>
      </c>
      <c r="G502" t="s">
        <v>60</v>
      </c>
      <c r="H502" t="s">
        <v>54</v>
      </c>
      <c r="I502">
        <v>10</v>
      </c>
      <c r="J502" s="24">
        <v>103.96</v>
      </c>
      <c r="K502" s="24">
        <f t="shared" si="14"/>
        <v>1039.5999999999999</v>
      </c>
      <c r="L502" s="24">
        <v>1383.32</v>
      </c>
      <c r="M502" s="2">
        <f t="shared" si="15"/>
        <v>343.72</v>
      </c>
      <c r="N502" t="str">
        <v>Low</v>
      </c>
      <c r="O502" t="s">
        <v>63</v>
      </c>
    </row>
    <row r="503" spans="1:15" x14ac:dyDescent="0.3">
      <c r="A503" t="s">
        <v>541</v>
      </c>
      <c r="B503" s="1">
        <v>45794</v>
      </c>
      <c r="C503" t="s">
        <v>1041</v>
      </c>
      <c r="D503" t="s">
        <v>71</v>
      </c>
      <c r="E503" t="s">
        <v>1251</v>
      </c>
      <c r="F503" t="s">
        <v>1315</v>
      </c>
      <c r="G503" t="s">
        <v>60</v>
      </c>
      <c r="H503" t="s">
        <v>53</v>
      </c>
      <c r="I503">
        <v>8</v>
      </c>
      <c r="J503" s="24">
        <v>55.56</v>
      </c>
      <c r="K503" s="24">
        <f t="shared" si="14"/>
        <v>444.48</v>
      </c>
      <c r="L503" s="24">
        <v>509</v>
      </c>
      <c r="M503" s="2">
        <f t="shared" si="15"/>
        <v>64.519999999999982</v>
      </c>
      <c r="N503" t="str">
        <v>Low</v>
      </c>
      <c r="O503" t="s">
        <v>65</v>
      </c>
    </row>
    <row r="504" spans="1:15" x14ac:dyDescent="0.3">
      <c r="A504" t="s">
        <v>542</v>
      </c>
      <c r="B504" s="1">
        <v>45795</v>
      </c>
      <c r="C504" t="s">
        <v>1078</v>
      </c>
      <c r="D504" t="s">
        <v>71</v>
      </c>
      <c r="E504" t="s">
        <v>1241</v>
      </c>
      <c r="F504" t="s">
        <v>1312</v>
      </c>
      <c r="G504" t="s">
        <v>60</v>
      </c>
      <c r="H504" t="s">
        <v>53</v>
      </c>
      <c r="I504">
        <v>5</v>
      </c>
      <c r="J504" s="24">
        <v>434.56</v>
      </c>
      <c r="K504" s="24">
        <f t="shared" si="14"/>
        <v>2172.8000000000002</v>
      </c>
      <c r="L504" s="24">
        <v>3151.7</v>
      </c>
      <c r="M504" s="2">
        <f t="shared" si="15"/>
        <v>978.89999999999964</v>
      </c>
      <c r="N504" t="str">
        <v>High</v>
      </c>
      <c r="O504" t="s">
        <v>65</v>
      </c>
    </row>
    <row r="505" spans="1:15" x14ac:dyDescent="0.3">
      <c r="A505" t="s">
        <v>543</v>
      </c>
      <c r="B505" s="1">
        <v>45796</v>
      </c>
      <c r="C505" t="s">
        <v>1110</v>
      </c>
      <c r="D505" t="s">
        <v>71</v>
      </c>
      <c r="E505" t="s">
        <v>1251</v>
      </c>
      <c r="F505" t="s">
        <v>1320</v>
      </c>
      <c r="G505" t="s">
        <v>60</v>
      </c>
      <c r="H505" t="s">
        <v>51</v>
      </c>
      <c r="I505">
        <v>2</v>
      </c>
      <c r="J505" s="24">
        <v>86.21</v>
      </c>
      <c r="K505" s="24">
        <f t="shared" si="14"/>
        <v>172.42</v>
      </c>
      <c r="L505" s="24">
        <v>247.86</v>
      </c>
      <c r="M505" s="2">
        <f t="shared" si="15"/>
        <v>75.440000000000026</v>
      </c>
      <c r="N505" t="str">
        <v>Low</v>
      </c>
      <c r="O505" t="s">
        <v>63</v>
      </c>
    </row>
    <row r="506" spans="1:15" x14ac:dyDescent="0.3">
      <c r="A506" t="s">
        <v>544</v>
      </c>
      <c r="B506" s="1">
        <v>45797</v>
      </c>
      <c r="C506" t="s">
        <v>1047</v>
      </c>
      <c r="D506" t="s">
        <v>72</v>
      </c>
      <c r="E506" t="s">
        <v>1253</v>
      </c>
      <c r="F506" t="s">
        <v>1331</v>
      </c>
      <c r="G506" t="s">
        <v>60</v>
      </c>
      <c r="H506" t="s">
        <v>52</v>
      </c>
      <c r="I506">
        <v>7</v>
      </c>
      <c r="J506" s="24">
        <v>200.19</v>
      </c>
      <c r="K506" s="24">
        <f t="shared" si="14"/>
        <v>1401.33</v>
      </c>
      <c r="L506" s="24">
        <v>1922.9</v>
      </c>
      <c r="M506" s="2">
        <f t="shared" si="15"/>
        <v>521.57000000000016</v>
      </c>
      <c r="N506" t="str">
        <v>Low</v>
      </c>
      <c r="O506" t="s">
        <v>65</v>
      </c>
    </row>
    <row r="507" spans="1:15" x14ac:dyDescent="0.3">
      <c r="A507" t="s">
        <v>545</v>
      </c>
      <c r="B507" s="1">
        <v>45798</v>
      </c>
      <c r="C507" t="s">
        <v>1099</v>
      </c>
      <c r="D507" t="s">
        <v>71</v>
      </c>
      <c r="E507" t="s">
        <v>1240</v>
      </c>
      <c r="F507" t="s">
        <v>1333</v>
      </c>
      <c r="G507" t="s">
        <v>60</v>
      </c>
      <c r="H507" t="s">
        <v>53</v>
      </c>
      <c r="I507">
        <v>4</v>
      </c>
      <c r="J507" s="24">
        <v>251.67</v>
      </c>
      <c r="K507" s="24">
        <f t="shared" si="14"/>
        <v>1006.68</v>
      </c>
      <c r="L507" s="24">
        <v>1466.4</v>
      </c>
      <c r="M507" s="2">
        <f t="shared" si="15"/>
        <v>459.72000000000014</v>
      </c>
      <c r="N507" t="str">
        <v>Low</v>
      </c>
      <c r="O507" t="s">
        <v>65</v>
      </c>
    </row>
    <row r="508" spans="1:15" x14ac:dyDescent="0.3">
      <c r="A508" t="s">
        <v>546</v>
      </c>
      <c r="B508" s="1">
        <v>45799</v>
      </c>
      <c r="C508" t="s">
        <v>1113</v>
      </c>
      <c r="D508" t="s">
        <v>72</v>
      </c>
      <c r="E508" t="s">
        <v>1253</v>
      </c>
      <c r="F508" t="s">
        <v>1298</v>
      </c>
      <c r="G508" t="s">
        <v>60</v>
      </c>
      <c r="H508" t="s">
        <v>52</v>
      </c>
      <c r="I508">
        <v>5</v>
      </c>
      <c r="J508" s="24">
        <v>201.85</v>
      </c>
      <c r="K508" s="24">
        <f t="shared" si="14"/>
        <v>1009.25</v>
      </c>
      <c r="L508" s="24">
        <v>1135.73</v>
      </c>
      <c r="M508" s="2">
        <f t="shared" si="15"/>
        <v>126.48000000000002</v>
      </c>
      <c r="N508" t="str">
        <v>Low</v>
      </c>
      <c r="O508" t="s">
        <v>65</v>
      </c>
    </row>
    <row r="509" spans="1:15" x14ac:dyDescent="0.3">
      <c r="A509" t="s">
        <v>547</v>
      </c>
      <c r="B509" s="1">
        <v>45800</v>
      </c>
      <c r="C509" t="s">
        <v>1115</v>
      </c>
      <c r="D509" t="s">
        <v>73</v>
      </c>
      <c r="E509" t="s">
        <v>1250</v>
      </c>
      <c r="F509" t="s">
        <v>1274</v>
      </c>
      <c r="G509" t="s">
        <v>60</v>
      </c>
      <c r="H509" t="s">
        <v>54</v>
      </c>
      <c r="I509">
        <v>7</v>
      </c>
      <c r="J509" s="24">
        <v>239.59</v>
      </c>
      <c r="K509" s="24">
        <f t="shared" si="14"/>
        <v>1677.13</v>
      </c>
      <c r="L509" s="24">
        <v>2053.56</v>
      </c>
      <c r="M509" s="2">
        <f t="shared" si="15"/>
        <v>376.42999999999984</v>
      </c>
      <c r="N509" t="str">
        <v>High</v>
      </c>
      <c r="O509" t="s">
        <v>64</v>
      </c>
    </row>
    <row r="510" spans="1:15" x14ac:dyDescent="0.3">
      <c r="A510" t="s">
        <v>548</v>
      </c>
      <c r="B510" s="1">
        <v>45801</v>
      </c>
      <c r="C510" t="s">
        <v>1085</v>
      </c>
      <c r="D510" t="s">
        <v>71</v>
      </c>
      <c r="E510" t="s">
        <v>1251</v>
      </c>
      <c r="F510" t="s">
        <v>1326</v>
      </c>
      <c r="G510" t="s">
        <v>60</v>
      </c>
      <c r="H510" t="s">
        <v>52</v>
      </c>
      <c r="I510">
        <v>2</v>
      </c>
      <c r="J510" s="24">
        <v>140.12</v>
      </c>
      <c r="K510" s="24">
        <f t="shared" si="14"/>
        <v>280.24</v>
      </c>
      <c r="L510" s="24">
        <v>397.29</v>
      </c>
      <c r="M510" s="2">
        <f t="shared" si="15"/>
        <v>117.05000000000001</v>
      </c>
      <c r="N510" t="str">
        <v>Low</v>
      </c>
      <c r="O510" t="s">
        <v>65</v>
      </c>
    </row>
    <row r="511" spans="1:15" x14ac:dyDescent="0.3">
      <c r="A511" t="s">
        <v>549</v>
      </c>
      <c r="B511" s="1">
        <v>45802</v>
      </c>
      <c r="C511" t="s">
        <v>1213</v>
      </c>
      <c r="D511" t="s">
        <v>74</v>
      </c>
      <c r="E511" t="s">
        <v>1244</v>
      </c>
      <c r="F511" t="s">
        <v>1314</v>
      </c>
      <c r="G511" t="s">
        <v>60</v>
      </c>
      <c r="H511" t="s">
        <v>54</v>
      </c>
      <c r="I511">
        <v>7</v>
      </c>
      <c r="J511" s="24">
        <v>470.35</v>
      </c>
      <c r="K511" s="24">
        <f t="shared" si="14"/>
        <v>3292.4500000000003</v>
      </c>
      <c r="L511" s="24">
        <v>4732.49</v>
      </c>
      <c r="M511" s="2">
        <f t="shared" si="15"/>
        <v>1440.0399999999995</v>
      </c>
      <c r="N511" t="str">
        <v>High</v>
      </c>
      <c r="O511" t="s">
        <v>64</v>
      </c>
    </row>
    <row r="512" spans="1:15" x14ac:dyDescent="0.3">
      <c r="A512" t="s">
        <v>550</v>
      </c>
      <c r="B512" s="1">
        <v>45803</v>
      </c>
      <c r="C512" t="s">
        <v>1097</v>
      </c>
      <c r="D512" t="s">
        <v>71</v>
      </c>
      <c r="E512" t="s">
        <v>1241</v>
      </c>
      <c r="F512" t="s">
        <v>56</v>
      </c>
      <c r="G512" t="s">
        <v>60</v>
      </c>
      <c r="H512" t="s">
        <v>51</v>
      </c>
      <c r="I512">
        <v>5</v>
      </c>
      <c r="J512" s="24">
        <v>334.19</v>
      </c>
      <c r="K512" s="24">
        <f t="shared" si="14"/>
        <v>1670.95</v>
      </c>
      <c r="L512" s="24">
        <v>2345.16</v>
      </c>
      <c r="M512" s="2">
        <f t="shared" si="15"/>
        <v>674.20999999999981</v>
      </c>
      <c r="N512" t="str">
        <v>High</v>
      </c>
      <c r="O512" t="s">
        <v>63</v>
      </c>
    </row>
    <row r="513" spans="1:15" x14ac:dyDescent="0.3">
      <c r="A513" t="s">
        <v>551</v>
      </c>
      <c r="B513" s="1">
        <v>45804</v>
      </c>
      <c r="C513" t="s">
        <v>1224</v>
      </c>
      <c r="D513" t="s">
        <v>73</v>
      </c>
      <c r="E513" t="s">
        <v>1252</v>
      </c>
      <c r="F513" t="s">
        <v>1317</v>
      </c>
      <c r="G513" t="s">
        <v>60</v>
      </c>
      <c r="H513" t="s">
        <v>54</v>
      </c>
      <c r="I513">
        <v>7</v>
      </c>
      <c r="J513" s="24">
        <v>183.33</v>
      </c>
      <c r="K513" s="24">
        <f t="shared" si="14"/>
        <v>1283.3100000000002</v>
      </c>
      <c r="L513" s="24">
        <v>1754.31</v>
      </c>
      <c r="M513" s="2">
        <f t="shared" si="15"/>
        <v>470.99999999999977</v>
      </c>
      <c r="N513" t="str">
        <v>Low</v>
      </c>
      <c r="O513" t="s">
        <v>65</v>
      </c>
    </row>
    <row r="514" spans="1:15" x14ac:dyDescent="0.3">
      <c r="A514" t="s">
        <v>552</v>
      </c>
      <c r="B514" s="1">
        <v>45805</v>
      </c>
      <c r="C514" t="s">
        <v>1094</v>
      </c>
      <c r="D514" t="s">
        <v>71</v>
      </c>
      <c r="E514" t="s">
        <v>1254</v>
      </c>
      <c r="F514" t="s">
        <v>1322</v>
      </c>
      <c r="G514" t="s">
        <v>60</v>
      </c>
      <c r="H514" t="s">
        <v>52</v>
      </c>
      <c r="I514">
        <v>9</v>
      </c>
      <c r="J514" s="24">
        <v>117.05</v>
      </c>
      <c r="K514" s="24">
        <f t="shared" si="14"/>
        <v>1053.45</v>
      </c>
      <c r="L514" s="24">
        <v>1163.6300000000001</v>
      </c>
      <c r="M514" s="2">
        <f t="shared" si="15"/>
        <v>110.18000000000006</v>
      </c>
      <c r="N514" t="str">
        <v>Low</v>
      </c>
      <c r="O514" t="s">
        <v>65</v>
      </c>
    </row>
    <row r="515" spans="1:15" x14ac:dyDescent="0.3">
      <c r="A515" t="s">
        <v>553</v>
      </c>
      <c r="B515" s="1">
        <v>45806</v>
      </c>
      <c r="C515" t="s">
        <v>1123</v>
      </c>
      <c r="D515" t="s">
        <v>72</v>
      </c>
      <c r="E515" t="s">
        <v>1242</v>
      </c>
      <c r="F515" t="s">
        <v>1294</v>
      </c>
      <c r="G515" t="s">
        <v>60</v>
      </c>
      <c r="H515" t="s">
        <v>54</v>
      </c>
      <c r="I515">
        <v>6</v>
      </c>
      <c r="J515" s="24">
        <v>276.41000000000003</v>
      </c>
      <c r="K515" s="24">
        <f t="shared" ref="K515:K578" si="16">J515*I515</f>
        <v>1658.46</v>
      </c>
      <c r="L515" s="24">
        <v>2320.8000000000002</v>
      </c>
      <c r="M515" s="2">
        <f t="shared" ref="M515:M578" si="17">L515-K515</f>
        <v>662.34000000000015</v>
      </c>
      <c r="N515" t="str">
        <v>High</v>
      </c>
      <c r="O515" t="s">
        <v>65</v>
      </c>
    </row>
    <row r="516" spans="1:15" x14ac:dyDescent="0.3">
      <c r="A516" t="s">
        <v>554</v>
      </c>
      <c r="B516" s="1">
        <v>45807</v>
      </c>
      <c r="C516" t="s">
        <v>1146</v>
      </c>
      <c r="D516" t="s">
        <v>73</v>
      </c>
      <c r="E516" t="s">
        <v>1250</v>
      </c>
      <c r="F516" t="s">
        <v>1284</v>
      </c>
      <c r="G516" t="s">
        <v>60</v>
      </c>
      <c r="H516" t="s">
        <v>52</v>
      </c>
      <c r="I516">
        <v>2</v>
      </c>
      <c r="J516" s="24">
        <v>260</v>
      </c>
      <c r="K516" s="24">
        <f t="shared" si="16"/>
        <v>520</v>
      </c>
      <c r="L516" s="24">
        <v>665.84</v>
      </c>
      <c r="M516" s="2">
        <f t="shared" si="17"/>
        <v>145.84000000000003</v>
      </c>
      <c r="N516" t="str">
        <v>Low</v>
      </c>
      <c r="O516" t="s">
        <v>64</v>
      </c>
    </row>
    <row r="517" spans="1:15" x14ac:dyDescent="0.3">
      <c r="A517" t="s">
        <v>555</v>
      </c>
      <c r="B517" s="1">
        <v>45808</v>
      </c>
      <c r="C517" t="s">
        <v>1100</v>
      </c>
      <c r="D517" t="s">
        <v>72</v>
      </c>
      <c r="E517" t="s">
        <v>1245</v>
      </c>
      <c r="F517" t="s">
        <v>1265</v>
      </c>
      <c r="G517" t="s">
        <v>60</v>
      </c>
      <c r="H517" t="s">
        <v>54</v>
      </c>
      <c r="I517">
        <v>3</v>
      </c>
      <c r="J517" s="24">
        <v>170</v>
      </c>
      <c r="K517" s="24">
        <f t="shared" si="16"/>
        <v>510</v>
      </c>
      <c r="L517" s="24">
        <v>637.9</v>
      </c>
      <c r="M517" s="2">
        <f t="shared" si="17"/>
        <v>127.89999999999998</v>
      </c>
      <c r="N517" t="str">
        <v>Low</v>
      </c>
      <c r="O517" t="s">
        <v>63</v>
      </c>
    </row>
    <row r="518" spans="1:15" x14ac:dyDescent="0.3">
      <c r="A518" t="s">
        <v>556</v>
      </c>
      <c r="B518" s="1">
        <v>45809</v>
      </c>
      <c r="C518" t="s">
        <v>1182</v>
      </c>
      <c r="D518" t="s">
        <v>71</v>
      </c>
      <c r="E518" t="s">
        <v>1241</v>
      </c>
      <c r="F518" t="s">
        <v>57</v>
      </c>
      <c r="G518" t="s">
        <v>60</v>
      </c>
      <c r="H518" t="s">
        <v>51</v>
      </c>
      <c r="I518">
        <v>7</v>
      </c>
      <c r="J518" s="24">
        <v>62.4</v>
      </c>
      <c r="K518" s="24">
        <f t="shared" si="16"/>
        <v>436.8</v>
      </c>
      <c r="L518" s="24">
        <v>587.32000000000005</v>
      </c>
      <c r="M518" s="2">
        <f t="shared" si="17"/>
        <v>150.52000000000004</v>
      </c>
      <c r="N518" t="str">
        <v>Low</v>
      </c>
      <c r="O518" t="s">
        <v>65</v>
      </c>
    </row>
    <row r="519" spans="1:15" x14ac:dyDescent="0.3">
      <c r="A519" t="s">
        <v>557</v>
      </c>
      <c r="B519" s="1">
        <v>45810</v>
      </c>
      <c r="C519" t="s">
        <v>1057</v>
      </c>
      <c r="D519" t="s">
        <v>71</v>
      </c>
      <c r="E519" t="s">
        <v>1240</v>
      </c>
      <c r="F519" t="s">
        <v>1258</v>
      </c>
      <c r="G519" t="s">
        <v>60</v>
      </c>
      <c r="H519" t="s">
        <v>51</v>
      </c>
      <c r="I519">
        <v>9</v>
      </c>
      <c r="J519" s="24">
        <v>213.21</v>
      </c>
      <c r="K519" s="24">
        <f t="shared" si="16"/>
        <v>1918.89</v>
      </c>
      <c r="L519" s="24">
        <v>2121.4699999999998</v>
      </c>
      <c r="M519" s="2">
        <f t="shared" si="17"/>
        <v>202.5799999999997</v>
      </c>
      <c r="N519" t="str">
        <v>High</v>
      </c>
      <c r="O519" t="s">
        <v>63</v>
      </c>
    </row>
    <row r="520" spans="1:15" x14ac:dyDescent="0.3">
      <c r="A520" t="s">
        <v>558</v>
      </c>
      <c r="B520" s="1">
        <v>45811</v>
      </c>
      <c r="C520" t="s">
        <v>1225</v>
      </c>
      <c r="D520" t="s">
        <v>71</v>
      </c>
      <c r="E520" t="s">
        <v>1251</v>
      </c>
      <c r="F520" t="s">
        <v>1315</v>
      </c>
      <c r="G520" t="s">
        <v>60</v>
      </c>
      <c r="H520" t="s">
        <v>53</v>
      </c>
      <c r="I520">
        <v>10</v>
      </c>
      <c r="J520" s="24">
        <v>320.52999999999997</v>
      </c>
      <c r="K520" s="24">
        <f t="shared" si="16"/>
        <v>3205.2999999999997</v>
      </c>
      <c r="L520" s="24">
        <v>3579.42</v>
      </c>
      <c r="M520" s="2">
        <f t="shared" si="17"/>
        <v>374.12000000000035</v>
      </c>
      <c r="N520" t="str">
        <v>High</v>
      </c>
      <c r="O520" t="s">
        <v>64</v>
      </c>
    </row>
    <row r="521" spans="1:15" x14ac:dyDescent="0.3">
      <c r="A521" t="s">
        <v>559</v>
      </c>
      <c r="B521" s="1">
        <v>45812</v>
      </c>
      <c r="C521" t="s">
        <v>1207</v>
      </c>
      <c r="D521" t="s">
        <v>73</v>
      </c>
      <c r="E521" t="s">
        <v>1252</v>
      </c>
      <c r="F521" t="s">
        <v>1317</v>
      </c>
      <c r="G521" t="s">
        <v>60</v>
      </c>
      <c r="H521" t="s">
        <v>51</v>
      </c>
      <c r="I521">
        <v>10</v>
      </c>
      <c r="J521" s="24">
        <v>116.74</v>
      </c>
      <c r="K521" s="24">
        <f t="shared" si="16"/>
        <v>1167.3999999999999</v>
      </c>
      <c r="L521" s="24">
        <v>1562.88</v>
      </c>
      <c r="M521" s="2">
        <f t="shared" si="17"/>
        <v>395.48000000000025</v>
      </c>
      <c r="N521" t="str">
        <v>Low</v>
      </c>
      <c r="O521" t="s">
        <v>63</v>
      </c>
    </row>
    <row r="522" spans="1:15" x14ac:dyDescent="0.3">
      <c r="A522" t="s">
        <v>560</v>
      </c>
      <c r="B522" s="1">
        <v>45813</v>
      </c>
      <c r="C522" t="s">
        <v>1162</v>
      </c>
      <c r="D522" t="s">
        <v>73</v>
      </c>
      <c r="E522" t="s">
        <v>1250</v>
      </c>
      <c r="F522" t="s">
        <v>1284</v>
      </c>
      <c r="G522" t="s">
        <v>60</v>
      </c>
      <c r="H522" t="s">
        <v>51</v>
      </c>
      <c r="I522">
        <v>9</v>
      </c>
      <c r="J522" s="24">
        <v>261.29000000000002</v>
      </c>
      <c r="K522" s="24">
        <f t="shared" si="16"/>
        <v>2351.61</v>
      </c>
      <c r="L522" s="24">
        <v>3401.29</v>
      </c>
      <c r="M522" s="2">
        <f t="shared" si="17"/>
        <v>1049.6799999999998</v>
      </c>
      <c r="N522" t="str">
        <v>High</v>
      </c>
      <c r="O522" t="s">
        <v>64</v>
      </c>
    </row>
    <row r="523" spans="1:15" x14ac:dyDescent="0.3">
      <c r="A523" t="s">
        <v>561</v>
      </c>
      <c r="B523" s="1">
        <v>45814</v>
      </c>
      <c r="C523" t="s">
        <v>1207</v>
      </c>
      <c r="D523" t="s">
        <v>73</v>
      </c>
      <c r="E523" t="s">
        <v>1243</v>
      </c>
      <c r="F523" t="s">
        <v>1306</v>
      </c>
      <c r="G523" t="s">
        <v>60</v>
      </c>
      <c r="H523" t="s">
        <v>52</v>
      </c>
      <c r="I523">
        <v>3</v>
      </c>
      <c r="J523" s="24">
        <v>397.98</v>
      </c>
      <c r="K523" s="24">
        <f t="shared" si="16"/>
        <v>1193.94</v>
      </c>
      <c r="L523" s="24">
        <v>1568.01</v>
      </c>
      <c r="M523" s="2">
        <f t="shared" si="17"/>
        <v>374.06999999999994</v>
      </c>
      <c r="N523" t="str">
        <v>Low</v>
      </c>
      <c r="O523" t="s">
        <v>63</v>
      </c>
    </row>
    <row r="524" spans="1:15" x14ac:dyDescent="0.3">
      <c r="A524" t="s">
        <v>562</v>
      </c>
      <c r="B524" s="1">
        <v>45815</v>
      </c>
      <c r="C524" t="s">
        <v>1109</v>
      </c>
      <c r="D524" t="s">
        <v>71</v>
      </c>
      <c r="E524" t="s">
        <v>1248</v>
      </c>
      <c r="F524" t="s">
        <v>1301</v>
      </c>
      <c r="G524" t="s">
        <v>60</v>
      </c>
      <c r="H524" t="s">
        <v>53</v>
      </c>
      <c r="I524">
        <v>5</v>
      </c>
      <c r="J524" s="24">
        <v>318.87</v>
      </c>
      <c r="K524" s="24">
        <f t="shared" si="16"/>
        <v>1594.35</v>
      </c>
      <c r="L524" s="24">
        <v>2154.67</v>
      </c>
      <c r="M524" s="2">
        <f t="shared" si="17"/>
        <v>560.32000000000016</v>
      </c>
      <c r="N524" t="str">
        <v>High</v>
      </c>
      <c r="O524" t="s">
        <v>63</v>
      </c>
    </row>
    <row r="525" spans="1:15" x14ac:dyDescent="0.3">
      <c r="A525" t="s">
        <v>563</v>
      </c>
      <c r="B525" s="1">
        <v>45816</v>
      </c>
      <c r="C525" t="s">
        <v>1129</v>
      </c>
      <c r="D525" t="s">
        <v>74</v>
      </c>
      <c r="E525" t="s">
        <v>1247</v>
      </c>
      <c r="F525" t="s">
        <v>1327</v>
      </c>
      <c r="G525" t="s">
        <v>60</v>
      </c>
      <c r="H525" t="s">
        <v>53</v>
      </c>
      <c r="I525">
        <v>8</v>
      </c>
      <c r="J525" s="24">
        <v>390.43</v>
      </c>
      <c r="K525" s="24">
        <f t="shared" si="16"/>
        <v>3123.44</v>
      </c>
      <c r="L525" s="24">
        <v>3783.27</v>
      </c>
      <c r="M525" s="2">
        <f t="shared" si="17"/>
        <v>659.82999999999993</v>
      </c>
      <c r="N525" t="str">
        <v>High</v>
      </c>
      <c r="O525" t="s">
        <v>63</v>
      </c>
    </row>
    <row r="526" spans="1:15" x14ac:dyDescent="0.3">
      <c r="A526" t="s">
        <v>564</v>
      </c>
      <c r="B526" s="1">
        <v>45817</v>
      </c>
      <c r="C526" t="s">
        <v>1191</v>
      </c>
      <c r="D526" t="s">
        <v>74</v>
      </c>
      <c r="E526" t="s">
        <v>1249</v>
      </c>
      <c r="F526" t="s">
        <v>1308</v>
      </c>
      <c r="G526" t="s">
        <v>60</v>
      </c>
      <c r="H526" t="s">
        <v>53</v>
      </c>
      <c r="I526">
        <v>7</v>
      </c>
      <c r="J526" s="24">
        <v>363.88</v>
      </c>
      <c r="K526" s="24">
        <f t="shared" si="16"/>
        <v>2547.16</v>
      </c>
      <c r="L526" s="24">
        <v>3345.26</v>
      </c>
      <c r="M526" s="2">
        <f t="shared" si="17"/>
        <v>798.10000000000036</v>
      </c>
      <c r="N526" t="str">
        <v>High</v>
      </c>
      <c r="O526" t="s">
        <v>65</v>
      </c>
    </row>
    <row r="527" spans="1:15" x14ac:dyDescent="0.3">
      <c r="A527" t="s">
        <v>565</v>
      </c>
      <c r="B527" s="1">
        <v>45818</v>
      </c>
      <c r="C527" t="s">
        <v>1069</v>
      </c>
      <c r="D527" t="s">
        <v>73</v>
      </c>
      <c r="E527" t="s">
        <v>1250</v>
      </c>
      <c r="F527" t="s">
        <v>1274</v>
      </c>
      <c r="G527" t="s">
        <v>60</v>
      </c>
      <c r="H527" t="s">
        <v>51</v>
      </c>
      <c r="I527">
        <v>5</v>
      </c>
      <c r="J527" s="24">
        <v>156.30000000000001</v>
      </c>
      <c r="K527" s="24">
        <f t="shared" si="16"/>
        <v>781.5</v>
      </c>
      <c r="L527" s="24">
        <v>869.91</v>
      </c>
      <c r="M527" s="2">
        <f t="shared" si="17"/>
        <v>88.409999999999968</v>
      </c>
      <c r="N527" t="str">
        <v>Low</v>
      </c>
      <c r="O527" t="s">
        <v>65</v>
      </c>
    </row>
    <row r="528" spans="1:15" x14ac:dyDescent="0.3">
      <c r="A528" t="s">
        <v>566</v>
      </c>
      <c r="B528" s="1">
        <v>45819</v>
      </c>
      <c r="C528" t="s">
        <v>1196</v>
      </c>
      <c r="D528" t="s">
        <v>71</v>
      </c>
      <c r="E528" t="s">
        <v>1241</v>
      </c>
      <c r="F528" t="s">
        <v>57</v>
      </c>
      <c r="G528" t="s">
        <v>60</v>
      </c>
      <c r="H528" t="s">
        <v>51</v>
      </c>
      <c r="I528">
        <v>3</v>
      </c>
      <c r="J528" s="24">
        <v>461.62</v>
      </c>
      <c r="K528" s="24">
        <f t="shared" si="16"/>
        <v>1384.8600000000001</v>
      </c>
      <c r="L528" s="24">
        <v>1643.36</v>
      </c>
      <c r="M528" s="2">
        <f t="shared" si="17"/>
        <v>258.49999999999977</v>
      </c>
      <c r="N528" t="str">
        <v>Low</v>
      </c>
      <c r="O528" t="s">
        <v>65</v>
      </c>
    </row>
    <row r="529" spans="1:15" x14ac:dyDescent="0.3">
      <c r="A529" t="s">
        <v>567</v>
      </c>
      <c r="B529" s="1">
        <v>45820</v>
      </c>
      <c r="C529" t="s">
        <v>1146</v>
      </c>
      <c r="D529" t="s">
        <v>71</v>
      </c>
      <c r="E529" t="s">
        <v>1241</v>
      </c>
      <c r="F529" t="s">
        <v>1312</v>
      </c>
      <c r="G529" t="s">
        <v>60</v>
      </c>
      <c r="H529" t="s">
        <v>52</v>
      </c>
      <c r="I529">
        <v>3</v>
      </c>
      <c r="J529" s="24">
        <v>146.04</v>
      </c>
      <c r="K529" s="24">
        <f t="shared" si="16"/>
        <v>438.12</v>
      </c>
      <c r="L529" s="24">
        <v>596.59</v>
      </c>
      <c r="M529" s="2">
        <f t="shared" si="17"/>
        <v>158.47000000000003</v>
      </c>
      <c r="N529" t="str">
        <v>Low</v>
      </c>
      <c r="O529" t="s">
        <v>63</v>
      </c>
    </row>
    <row r="530" spans="1:15" x14ac:dyDescent="0.3">
      <c r="A530" t="s">
        <v>568</v>
      </c>
      <c r="B530" s="1">
        <v>45821</v>
      </c>
      <c r="C530" t="s">
        <v>1056</v>
      </c>
      <c r="D530" t="s">
        <v>71</v>
      </c>
      <c r="E530" t="s">
        <v>1251</v>
      </c>
      <c r="F530" t="s">
        <v>1326</v>
      </c>
      <c r="G530" t="s">
        <v>60</v>
      </c>
      <c r="H530" t="s">
        <v>53</v>
      </c>
      <c r="I530">
        <v>6</v>
      </c>
      <c r="J530" s="24">
        <v>382.02</v>
      </c>
      <c r="K530" s="24">
        <f t="shared" si="16"/>
        <v>2292.12</v>
      </c>
      <c r="L530" s="24">
        <v>2833.1</v>
      </c>
      <c r="M530" s="2">
        <f t="shared" si="17"/>
        <v>540.98</v>
      </c>
      <c r="N530" t="str">
        <v>High</v>
      </c>
      <c r="O530" t="s">
        <v>63</v>
      </c>
    </row>
    <row r="531" spans="1:15" x14ac:dyDescent="0.3">
      <c r="A531" t="s">
        <v>569</v>
      </c>
      <c r="B531" s="1">
        <v>45822</v>
      </c>
      <c r="C531" t="s">
        <v>1084</v>
      </c>
      <c r="D531" t="s">
        <v>71</v>
      </c>
      <c r="E531" t="s">
        <v>1240</v>
      </c>
      <c r="F531" t="s">
        <v>1275</v>
      </c>
      <c r="G531" t="s">
        <v>60</v>
      </c>
      <c r="H531" t="s">
        <v>54</v>
      </c>
      <c r="I531">
        <v>2</v>
      </c>
      <c r="J531" s="24">
        <v>313.77999999999997</v>
      </c>
      <c r="K531" s="24">
        <f t="shared" si="16"/>
        <v>627.55999999999995</v>
      </c>
      <c r="L531" s="24">
        <v>858.79</v>
      </c>
      <c r="M531" s="2">
        <f t="shared" si="17"/>
        <v>231.23000000000002</v>
      </c>
      <c r="N531" t="str">
        <v>Low</v>
      </c>
      <c r="O531" t="s">
        <v>65</v>
      </c>
    </row>
    <row r="532" spans="1:15" x14ac:dyDescent="0.3">
      <c r="A532" t="s">
        <v>570</v>
      </c>
      <c r="B532" s="1">
        <v>45823</v>
      </c>
      <c r="C532" t="s">
        <v>1151</v>
      </c>
      <c r="D532" t="s">
        <v>73</v>
      </c>
      <c r="E532" t="s">
        <v>1243</v>
      </c>
      <c r="F532" t="s">
        <v>1290</v>
      </c>
      <c r="G532" t="s">
        <v>60</v>
      </c>
      <c r="H532" t="s">
        <v>53</v>
      </c>
      <c r="I532">
        <v>10</v>
      </c>
      <c r="J532" s="24">
        <v>152.54</v>
      </c>
      <c r="K532" s="24">
        <f t="shared" si="16"/>
        <v>1525.3999999999999</v>
      </c>
      <c r="L532" s="24">
        <v>2267.84</v>
      </c>
      <c r="M532" s="2">
        <f t="shared" si="17"/>
        <v>742.44000000000028</v>
      </c>
      <c r="N532" t="str">
        <v>High</v>
      </c>
      <c r="O532" t="s">
        <v>65</v>
      </c>
    </row>
    <row r="533" spans="1:15" x14ac:dyDescent="0.3">
      <c r="A533" t="s">
        <v>571</v>
      </c>
      <c r="B533" s="1">
        <v>45824</v>
      </c>
      <c r="C533" t="s">
        <v>1226</v>
      </c>
      <c r="D533" t="s">
        <v>72</v>
      </c>
      <c r="E533" t="s">
        <v>1242</v>
      </c>
      <c r="F533" t="s">
        <v>1332</v>
      </c>
      <c r="G533" t="s">
        <v>60</v>
      </c>
      <c r="H533" t="s">
        <v>54</v>
      </c>
      <c r="I533">
        <v>6</v>
      </c>
      <c r="J533" s="24">
        <v>268.86</v>
      </c>
      <c r="K533" s="24">
        <f t="shared" si="16"/>
        <v>1613.16</v>
      </c>
      <c r="L533" s="24">
        <v>2131.69</v>
      </c>
      <c r="M533" s="2">
        <f t="shared" si="17"/>
        <v>518.53</v>
      </c>
      <c r="N533" t="str">
        <v>High</v>
      </c>
      <c r="O533" t="s">
        <v>64</v>
      </c>
    </row>
    <row r="534" spans="1:15" x14ac:dyDescent="0.3">
      <c r="A534" t="s">
        <v>572</v>
      </c>
      <c r="B534" s="1">
        <v>45825</v>
      </c>
      <c r="C534" t="s">
        <v>1186</v>
      </c>
      <c r="D534" t="s">
        <v>73</v>
      </c>
      <c r="E534" t="s">
        <v>1250</v>
      </c>
      <c r="F534" t="s">
        <v>1319</v>
      </c>
      <c r="G534" t="s">
        <v>60</v>
      </c>
      <c r="H534" t="s">
        <v>51</v>
      </c>
      <c r="I534">
        <v>7</v>
      </c>
      <c r="J534" s="24">
        <v>352.57</v>
      </c>
      <c r="K534" s="24">
        <f t="shared" si="16"/>
        <v>2467.9899999999998</v>
      </c>
      <c r="L534" s="24">
        <v>3629.8</v>
      </c>
      <c r="M534" s="2">
        <f t="shared" si="17"/>
        <v>1161.8100000000004</v>
      </c>
      <c r="N534" t="str">
        <v>High</v>
      </c>
      <c r="O534" t="s">
        <v>65</v>
      </c>
    </row>
    <row r="535" spans="1:15" x14ac:dyDescent="0.3">
      <c r="A535" t="s">
        <v>573</v>
      </c>
      <c r="B535" s="1">
        <v>45826</v>
      </c>
      <c r="C535" t="s">
        <v>1106</v>
      </c>
      <c r="D535" t="s">
        <v>72</v>
      </c>
      <c r="E535" t="s">
        <v>1253</v>
      </c>
      <c r="F535" t="s">
        <v>1313</v>
      </c>
      <c r="G535" t="s">
        <v>60</v>
      </c>
      <c r="H535" t="s">
        <v>53</v>
      </c>
      <c r="I535">
        <v>8</v>
      </c>
      <c r="J535" s="24">
        <v>416.13</v>
      </c>
      <c r="K535" s="24">
        <f t="shared" si="16"/>
        <v>3329.04</v>
      </c>
      <c r="L535" s="24">
        <v>4751.01</v>
      </c>
      <c r="M535" s="2">
        <f t="shared" si="17"/>
        <v>1421.9700000000003</v>
      </c>
      <c r="N535" t="str">
        <v>High</v>
      </c>
      <c r="O535" t="s">
        <v>65</v>
      </c>
    </row>
    <row r="536" spans="1:15" x14ac:dyDescent="0.3">
      <c r="A536" t="s">
        <v>574</v>
      </c>
      <c r="B536" s="1">
        <v>45827</v>
      </c>
      <c r="C536" t="s">
        <v>1080</v>
      </c>
      <c r="D536" t="s">
        <v>71</v>
      </c>
      <c r="E536" t="s">
        <v>1241</v>
      </c>
      <c r="F536" t="s">
        <v>1287</v>
      </c>
      <c r="G536" t="s">
        <v>60</v>
      </c>
      <c r="H536" t="s">
        <v>53</v>
      </c>
      <c r="I536">
        <v>2</v>
      </c>
      <c r="J536" s="24">
        <v>307.63</v>
      </c>
      <c r="K536" s="24">
        <f t="shared" si="16"/>
        <v>615.26</v>
      </c>
      <c r="L536" s="24">
        <v>800.62</v>
      </c>
      <c r="M536" s="2">
        <f t="shared" si="17"/>
        <v>185.36</v>
      </c>
      <c r="N536" t="str">
        <v>Low</v>
      </c>
      <c r="O536" t="s">
        <v>63</v>
      </c>
    </row>
    <row r="537" spans="1:15" x14ac:dyDescent="0.3">
      <c r="A537" t="s">
        <v>575</v>
      </c>
      <c r="B537" s="1">
        <v>45828</v>
      </c>
      <c r="C537" t="s">
        <v>1081</v>
      </c>
      <c r="D537" t="s">
        <v>71</v>
      </c>
      <c r="E537" t="s">
        <v>1240</v>
      </c>
      <c r="F537" t="s">
        <v>1275</v>
      </c>
      <c r="G537" t="s">
        <v>60</v>
      </c>
      <c r="H537" t="s">
        <v>51</v>
      </c>
      <c r="I537">
        <v>9</v>
      </c>
      <c r="J537" s="24">
        <v>483.4</v>
      </c>
      <c r="K537" s="24">
        <f t="shared" si="16"/>
        <v>4350.5999999999995</v>
      </c>
      <c r="L537" s="24">
        <v>5175.74</v>
      </c>
      <c r="M537" s="2">
        <f t="shared" si="17"/>
        <v>825.14000000000033</v>
      </c>
      <c r="N537" t="str">
        <v>High</v>
      </c>
      <c r="O537" t="s">
        <v>65</v>
      </c>
    </row>
    <row r="538" spans="1:15" x14ac:dyDescent="0.3">
      <c r="A538" t="s">
        <v>576</v>
      </c>
      <c r="B538" s="1">
        <v>45829</v>
      </c>
      <c r="C538" t="s">
        <v>1151</v>
      </c>
      <c r="D538" t="s">
        <v>73</v>
      </c>
      <c r="E538" t="s">
        <v>1250</v>
      </c>
      <c r="F538" t="s">
        <v>1302</v>
      </c>
      <c r="G538" t="s">
        <v>60</v>
      </c>
      <c r="H538" t="s">
        <v>53</v>
      </c>
      <c r="I538">
        <v>5</v>
      </c>
      <c r="J538" s="24">
        <v>365.12</v>
      </c>
      <c r="K538" s="24">
        <f t="shared" si="16"/>
        <v>1825.6</v>
      </c>
      <c r="L538" s="24">
        <v>2503.44</v>
      </c>
      <c r="M538" s="2">
        <f t="shared" si="17"/>
        <v>677.84000000000015</v>
      </c>
      <c r="N538" t="str">
        <v>High</v>
      </c>
      <c r="O538" t="s">
        <v>65</v>
      </c>
    </row>
    <row r="539" spans="1:15" x14ac:dyDescent="0.3">
      <c r="A539" t="s">
        <v>577</v>
      </c>
      <c r="B539" s="1">
        <v>45830</v>
      </c>
      <c r="C539" t="s">
        <v>1051</v>
      </c>
      <c r="D539" t="s">
        <v>72</v>
      </c>
      <c r="E539" t="s">
        <v>1253</v>
      </c>
      <c r="F539" t="s">
        <v>1281</v>
      </c>
      <c r="G539" t="s">
        <v>60</v>
      </c>
      <c r="H539" t="s">
        <v>51</v>
      </c>
      <c r="I539">
        <v>7</v>
      </c>
      <c r="J539" s="24">
        <v>311.11</v>
      </c>
      <c r="K539" s="24">
        <f t="shared" si="16"/>
        <v>2177.77</v>
      </c>
      <c r="L539" s="24">
        <v>2952.49</v>
      </c>
      <c r="M539" s="2">
        <f t="shared" si="17"/>
        <v>774.7199999999998</v>
      </c>
      <c r="N539" t="str">
        <v>High</v>
      </c>
      <c r="O539" t="s">
        <v>63</v>
      </c>
    </row>
    <row r="540" spans="1:15" x14ac:dyDescent="0.3">
      <c r="A540" t="s">
        <v>578</v>
      </c>
      <c r="B540" s="1">
        <v>45831</v>
      </c>
      <c r="C540" t="s">
        <v>1058</v>
      </c>
      <c r="D540" t="s">
        <v>71</v>
      </c>
      <c r="E540" t="s">
        <v>1240</v>
      </c>
      <c r="F540" t="s">
        <v>1333</v>
      </c>
      <c r="G540" t="s">
        <v>60</v>
      </c>
      <c r="H540" t="s">
        <v>52</v>
      </c>
      <c r="I540">
        <v>4</v>
      </c>
      <c r="J540" s="24">
        <v>373.71</v>
      </c>
      <c r="K540" s="24">
        <f t="shared" si="16"/>
        <v>1494.84</v>
      </c>
      <c r="L540" s="24">
        <v>2107.06</v>
      </c>
      <c r="M540" s="2">
        <f t="shared" si="17"/>
        <v>612.22</v>
      </c>
      <c r="N540" t="str">
        <v>High</v>
      </c>
      <c r="O540" t="s">
        <v>63</v>
      </c>
    </row>
    <row r="541" spans="1:15" x14ac:dyDescent="0.3">
      <c r="A541" t="s">
        <v>579</v>
      </c>
      <c r="B541" s="1">
        <v>45832</v>
      </c>
      <c r="C541" t="s">
        <v>1139</v>
      </c>
      <c r="D541" t="s">
        <v>71</v>
      </c>
      <c r="E541" t="s">
        <v>1254</v>
      </c>
      <c r="F541" t="s">
        <v>1296</v>
      </c>
      <c r="G541" t="s">
        <v>60</v>
      </c>
      <c r="H541" t="s">
        <v>51</v>
      </c>
      <c r="I541">
        <v>10</v>
      </c>
      <c r="J541" s="24">
        <v>426.63</v>
      </c>
      <c r="K541" s="24">
        <f t="shared" si="16"/>
        <v>4266.3</v>
      </c>
      <c r="L541" s="24">
        <v>5203.66</v>
      </c>
      <c r="M541" s="2">
        <f t="shared" si="17"/>
        <v>937.35999999999967</v>
      </c>
      <c r="N541" t="str">
        <v>High</v>
      </c>
      <c r="O541" t="s">
        <v>63</v>
      </c>
    </row>
    <row r="542" spans="1:15" x14ac:dyDescent="0.3">
      <c r="A542" t="s">
        <v>580</v>
      </c>
      <c r="B542" s="1">
        <v>45833</v>
      </c>
      <c r="C542" t="s">
        <v>1227</v>
      </c>
      <c r="D542" t="s">
        <v>71</v>
      </c>
      <c r="E542" t="s">
        <v>1248</v>
      </c>
      <c r="F542" t="s">
        <v>1329</v>
      </c>
      <c r="G542" t="s">
        <v>60</v>
      </c>
      <c r="H542" t="s">
        <v>51</v>
      </c>
      <c r="I542">
        <v>7</v>
      </c>
      <c r="J542" s="24">
        <v>306.7</v>
      </c>
      <c r="K542" s="24">
        <f t="shared" si="16"/>
        <v>2146.9</v>
      </c>
      <c r="L542" s="24">
        <v>3110.08</v>
      </c>
      <c r="M542" s="2">
        <f t="shared" si="17"/>
        <v>963.17999999999984</v>
      </c>
      <c r="N542" t="str">
        <v>High</v>
      </c>
      <c r="O542" t="s">
        <v>64</v>
      </c>
    </row>
    <row r="543" spans="1:15" x14ac:dyDescent="0.3">
      <c r="A543" t="s">
        <v>581</v>
      </c>
      <c r="B543" s="1">
        <v>45834</v>
      </c>
      <c r="C543" t="s">
        <v>1088</v>
      </c>
      <c r="D543" t="s">
        <v>72</v>
      </c>
      <c r="E543" t="s">
        <v>1242</v>
      </c>
      <c r="F543" t="s">
        <v>1280</v>
      </c>
      <c r="G543" t="s">
        <v>60</v>
      </c>
      <c r="H543" t="s">
        <v>52</v>
      </c>
      <c r="I543">
        <v>2</v>
      </c>
      <c r="J543" s="24">
        <v>318.63</v>
      </c>
      <c r="K543" s="24">
        <f t="shared" si="16"/>
        <v>637.26</v>
      </c>
      <c r="L543" s="24">
        <v>940.67</v>
      </c>
      <c r="M543" s="2">
        <f t="shared" si="17"/>
        <v>303.40999999999997</v>
      </c>
      <c r="N543" t="str">
        <v>Low</v>
      </c>
      <c r="O543" t="s">
        <v>65</v>
      </c>
    </row>
    <row r="544" spans="1:15" x14ac:dyDescent="0.3">
      <c r="A544" t="s">
        <v>582</v>
      </c>
      <c r="B544" s="1">
        <v>45835</v>
      </c>
      <c r="C544" t="s">
        <v>1228</v>
      </c>
      <c r="D544" t="s">
        <v>72</v>
      </c>
      <c r="E544" t="s">
        <v>1246</v>
      </c>
      <c r="F544" t="s">
        <v>1282</v>
      </c>
      <c r="G544" t="s">
        <v>60</v>
      </c>
      <c r="H544" t="s">
        <v>53</v>
      </c>
      <c r="I544">
        <v>8</v>
      </c>
      <c r="J544" s="24">
        <v>78.84</v>
      </c>
      <c r="K544" s="24">
        <f t="shared" si="16"/>
        <v>630.72</v>
      </c>
      <c r="L544" s="24">
        <v>783.5</v>
      </c>
      <c r="M544" s="2">
        <f t="shared" si="17"/>
        <v>152.77999999999997</v>
      </c>
      <c r="N544" t="str">
        <v>Low</v>
      </c>
      <c r="O544" t="s">
        <v>64</v>
      </c>
    </row>
    <row r="545" spans="1:15" x14ac:dyDescent="0.3">
      <c r="A545" t="s">
        <v>583</v>
      </c>
      <c r="B545" s="1">
        <v>45836</v>
      </c>
      <c r="C545" t="s">
        <v>1105</v>
      </c>
      <c r="D545" t="s">
        <v>1255</v>
      </c>
      <c r="E545" t="s">
        <v>59</v>
      </c>
      <c r="F545" t="s">
        <v>1262</v>
      </c>
      <c r="G545" t="s">
        <v>60</v>
      </c>
      <c r="H545" t="s">
        <v>51</v>
      </c>
      <c r="I545">
        <v>2</v>
      </c>
      <c r="J545" s="24">
        <v>459.61</v>
      </c>
      <c r="K545" s="24">
        <f t="shared" si="16"/>
        <v>919.22</v>
      </c>
      <c r="L545" s="24">
        <v>1122.5999999999999</v>
      </c>
      <c r="M545" s="2">
        <f t="shared" si="17"/>
        <v>203.37999999999988</v>
      </c>
      <c r="N545" t="str">
        <v>Low</v>
      </c>
      <c r="O545" t="s">
        <v>63</v>
      </c>
    </row>
    <row r="546" spans="1:15" x14ac:dyDescent="0.3">
      <c r="A546" t="s">
        <v>584</v>
      </c>
      <c r="B546" s="1">
        <v>45837</v>
      </c>
      <c r="C546" t="s">
        <v>1106</v>
      </c>
      <c r="D546" t="s">
        <v>74</v>
      </c>
      <c r="E546" t="s">
        <v>1249</v>
      </c>
      <c r="F546" t="s">
        <v>1325</v>
      </c>
      <c r="G546" t="s">
        <v>60</v>
      </c>
      <c r="H546" t="s">
        <v>53</v>
      </c>
      <c r="I546">
        <v>2</v>
      </c>
      <c r="J546" s="24">
        <v>385.11</v>
      </c>
      <c r="K546" s="24">
        <f t="shared" si="16"/>
        <v>770.22</v>
      </c>
      <c r="L546" s="24">
        <v>896.78</v>
      </c>
      <c r="M546" s="2">
        <f t="shared" si="17"/>
        <v>126.55999999999995</v>
      </c>
      <c r="N546" t="str">
        <v>Low</v>
      </c>
      <c r="O546" t="s">
        <v>65</v>
      </c>
    </row>
    <row r="547" spans="1:15" x14ac:dyDescent="0.3">
      <c r="A547" t="s">
        <v>585</v>
      </c>
      <c r="B547" s="1">
        <v>45838</v>
      </c>
      <c r="C547" t="s">
        <v>1079</v>
      </c>
      <c r="D547" t="s">
        <v>73</v>
      </c>
      <c r="E547" t="s">
        <v>1252</v>
      </c>
      <c r="F547" t="s">
        <v>1289</v>
      </c>
      <c r="G547" t="s">
        <v>60</v>
      </c>
      <c r="H547" t="s">
        <v>54</v>
      </c>
      <c r="I547">
        <v>2</v>
      </c>
      <c r="J547" s="24">
        <v>190.01</v>
      </c>
      <c r="K547" s="24">
        <f t="shared" si="16"/>
        <v>380.02</v>
      </c>
      <c r="L547" s="24">
        <v>460.47</v>
      </c>
      <c r="M547" s="2">
        <f t="shared" si="17"/>
        <v>80.450000000000045</v>
      </c>
      <c r="N547" t="str">
        <v>Low</v>
      </c>
      <c r="O547" t="s">
        <v>63</v>
      </c>
    </row>
    <row r="548" spans="1:15" x14ac:dyDescent="0.3">
      <c r="A548" t="s">
        <v>586</v>
      </c>
      <c r="B548" s="1">
        <v>45839</v>
      </c>
      <c r="C548" t="s">
        <v>1176</v>
      </c>
      <c r="D548" t="s">
        <v>71</v>
      </c>
      <c r="E548" t="s">
        <v>1254</v>
      </c>
      <c r="F548" t="s">
        <v>1296</v>
      </c>
      <c r="G548" t="s">
        <v>60</v>
      </c>
      <c r="H548" t="s">
        <v>54</v>
      </c>
      <c r="I548">
        <v>2</v>
      </c>
      <c r="J548" s="24">
        <v>473.18</v>
      </c>
      <c r="K548" s="24">
        <f t="shared" si="16"/>
        <v>946.36</v>
      </c>
      <c r="L548" s="24">
        <v>1374.48</v>
      </c>
      <c r="M548" s="2">
        <f t="shared" si="17"/>
        <v>428.12</v>
      </c>
      <c r="N548" t="str">
        <v>Low</v>
      </c>
      <c r="O548" t="s">
        <v>64</v>
      </c>
    </row>
    <row r="549" spans="1:15" x14ac:dyDescent="0.3">
      <c r="A549" t="s">
        <v>587</v>
      </c>
      <c r="B549" s="1">
        <v>45840</v>
      </c>
      <c r="C549" t="s">
        <v>1140</v>
      </c>
      <c r="D549" t="s">
        <v>71</v>
      </c>
      <c r="E549" t="s">
        <v>1240</v>
      </c>
      <c r="F549" t="s">
        <v>1333</v>
      </c>
      <c r="G549" t="s">
        <v>60</v>
      </c>
      <c r="H549" t="s">
        <v>51</v>
      </c>
      <c r="I549">
        <v>9</v>
      </c>
      <c r="J549" s="24">
        <v>96.96</v>
      </c>
      <c r="K549" s="24">
        <f t="shared" si="16"/>
        <v>872.64</v>
      </c>
      <c r="L549" s="24">
        <v>1025.1600000000001</v>
      </c>
      <c r="M549" s="2">
        <f t="shared" si="17"/>
        <v>152.5200000000001</v>
      </c>
      <c r="N549" t="str">
        <v>Low</v>
      </c>
      <c r="O549" t="s">
        <v>63</v>
      </c>
    </row>
    <row r="550" spans="1:15" x14ac:dyDescent="0.3">
      <c r="A550" t="s">
        <v>588</v>
      </c>
      <c r="B550" s="1">
        <v>45841</v>
      </c>
      <c r="C550" t="s">
        <v>1221</v>
      </c>
      <c r="D550" t="s">
        <v>74</v>
      </c>
      <c r="E550" t="s">
        <v>1249</v>
      </c>
      <c r="F550" t="s">
        <v>1324</v>
      </c>
      <c r="G550" t="s">
        <v>60</v>
      </c>
      <c r="H550" t="s">
        <v>52</v>
      </c>
      <c r="I550">
        <v>2</v>
      </c>
      <c r="J550" s="24">
        <v>335.28</v>
      </c>
      <c r="K550" s="24">
        <f t="shared" si="16"/>
        <v>670.56</v>
      </c>
      <c r="L550" s="24">
        <v>832.37</v>
      </c>
      <c r="M550" s="2">
        <f t="shared" si="17"/>
        <v>161.81000000000006</v>
      </c>
      <c r="N550" t="str">
        <v>Low</v>
      </c>
      <c r="O550" t="s">
        <v>65</v>
      </c>
    </row>
    <row r="551" spans="1:15" x14ac:dyDescent="0.3">
      <c r="A551" t="s">
        <v>589</v>
      </c>
      <c r="B551" s="1">
        <v>45842</v>
      </c>
      <c r="C551" t="s">
        <v>1150</v>
      </c>
      <c r="D551" t="s">
        <v>72</v>
      </c>
      <c r="E551" t="s">
        <v>1246</v>
      </c>
      <c r="F551" t="s">
        <v>1282</v>
      </c>
      <c r="G551" t="s">
        <v>60</v>
      </c>
      <c r="H551" t="s">
        <v>51</v>
      </c>
      <c r="I551">
        <v>9</v>
      </c>
      <c r="J551" s="24">
        <v>356.58</v>
      </c>
      <c r="K551" s="24">
        <f t="shared" si="16"/>
        <v>3209.22</v>
      </c>
      <c r="L551" s="24">
        <v>4708.8</v>
      </c>
      <c r="M551" s="2">
        <f t="shared" si="17"/>
        <v>1499.5800000000004</v>
      </c>
      <c r="N551" t="str">
        <v>High</v>
      </c>
      <c r="O551" t="s">
        <v>63</v>
      </c>
    </row>
    <row r="552" spans="1:15" x14ac:dyDescent="0.3">
      <c r="A552" t="s">
        <v>590</v>
      </c>
      <c r="B552" s="1">
        <v>45843</v>
      </c>
      <c r="C552" t="s">
        <v>1129</v>
      </c>
      <c r="D552" t="s">
        <v>1255</v>
      </c>
      <c r="E552" t="s">
        <v>59</v>
      </c>
      <c r="F552" t="s">
        <v>1295</v>
      </c>
      <c r="G552" t="s">
        <v>60</v>
      </c>
      <c r="H552" t="s">
        <v>52</v>
      </c>
      <c r="I552">
        <v>7</v>
      </c>
      <c r="J552" s="24">
        <v>78.56</v>
      </c>
      <c r="K552" s="24">
        <f t="shared" si="16"/>
        <v>549.92000000000007</v>
      </c>
      <c r="L552" s="24">
        <v>717.01</v>
      </c>
      <c r="M552" s="2">
        <f t="shared" si="17"/>
        <v>167.08999999999992</v>
      </c>
      <c r="N552" t="str">
        <v>Low</v>
      </c>
      <c r="O552" t="s">
        <v>65</v>
      </c>
    </row>
    <row r="553" spans="1:15" x14ac:dyDescent="0.3">
      <c r="A553" t="s">
        <v>591</v>
      </c>
      <c r="B553" s="1">
        <v>45844</v>
      </c>
      <c r="C553" t="s">
        <v>1122</v>
      </c>
      <c r="D553" t="s">
        <v>74</v>
      </c>
      <c r="E553" t="s">
        <v>1249</v>
      </c>
      <c r="F553" t="s">
        <v>1324</v>
      </c>
      <c r="G553" t="s">
        <v>60</v>
      </c>
      <c r="H553" t="s">
        <v>51</v>
      </c>
      <c r="I553">
        <v>7</v>
      </c>
      <c r="J553" s="24">
        <v>268.98</v>
      </c>
      <c r="K553" s="24">
        <f t="shared" si="16"/>
        <v>1882.8600000000001</v>
      </c>
      <c r="L553" s="24">
        <v>2802.54</v>
      </c>
      <c r="M553" s="2">
        <f t="shared" si="17"/>
        <v>919.67999999999984</v>
      </c>
      <c r="N553" t="str">
        <v>High</v>
      </c>
      <c r="O553" t="s">
        <v>63</v>
      </c>
    </row>
    <row r="554" spans="1:15" x14ac:dyDescent="0.3">
      <c r="A554" t="s">
        <v>592</v>
      </c>
      <c r="B554" s="1">
        <v>45845</v>
      </c>
      <c r="C554" t="s">
        <v>1122</v>
      </c>
      <c r="D554" t="s">
        <v>71</v>
      </c>
      <c r="E554" t="s">
        <v>1240</v>
      </c>
      <c r="F554" t="s">
        <v>1275</v>
      </c>
      <c r="G554" t="s">
        <v>60</v>
      </c>
      <c r="H554" t="s">
        <v>51</v>
      </c>
      <c r="I554">
        <v>5</v>
      </c>
      <c r="J554" s="24">
        <v>149.37</v>
      </c>
      <c r="K554" s="24">
        <f t="shared" si="16"/>
        <v>746.85</v>
      </c>
      <c r="L554" s="24">
        <v>934.73</v>
      </c>
      <c r="M554" s="2">
        <f t="shared" si="17"/>
        <v>187.88</v>
      </c>
      <c r="N554" t="str">
        <v>Low</v>
      </c>
      <c r="O554" t="s">
        <v>63</v>
      </c>
    </row>
    <row r="555" spans="1:15" x14ac:dyDescent="0.3">
      <c r="A555" t="s">
        <v>593</v>
      </c>
      <c r="B555" s="1">
        <v>45846</v>
      </c>
      <c r="C555" t="s">
        <v>1113</v>
      </c>
      <c r="D555" t="s">
        <v>1255</v>
      </c>
      <c r="E555" t="s">
        <v>59</v>
      </c>
      <c r="F555" t="s">
        <v>1323</v>
      </c>
      <c r="G555" t="s">
        <v>60</v>
      </c>
      <c r="H555" t="s">
        <v>52</v>
      </c>
      <c r="I555">
        <v>5</v>
      </c>
      <c r="J555" s="24">
        <v>101.19</v>
      </c>
      <c r="K555" s="24">
        <f t="shared" si="16"/>
        <v>505.95</v>
      </c>
      <c r="L555" s="24">
        <v>723.57</v>
      </c>
      <c r="M555" s="2">
        <f t="shared" si="17"/>
        <v>217.62000000000006</v>
      </c>
      <c r="N555" t="str">
        <v>Low</v>
      </c>
      <c r="O555" t="s">
        <v>65</v>
      </c>
    </row>
    <row r="556" spans="1:15" x14ac:dyDescent="0.3">
      <c r="A556" t="s">
        <v>594</v>
      </c>
      <c r="B556" s="1">
        <v>45847</v>
      </c>
      <c r="C556" t="s">
        <v>1170</v>
      </c>
      <c r="D556" t="s">
        <v>73</v>
      </c>
      <c r="E556" t="s">
        <v>1252</v>
      </c>
      <c r="F556" t="s">
        <v>1289</v>
      </c>
      <c r="G556" t="s">
        <v>60</v>
      </c>
      <c r="H556" t="s">
        <v>54</v>
      </c>
      <c r="I556">
        <v>3</v>
      </c>
      <c r="J556" s="24">
        <v>436.8</v>
      </c>
      <c r="K556" s="24">
        <f t="shared" si="16"/>
        <v>1310.4000000000001</v>
      </c>
      <c r="L556" s="24">
        <v>1534.54</v>
      </c>
      <c r="M556" s="2">
        <f t="shared" si="17"/>
        <v>224.13999999999987</v>
      </c>
      <c r="N556" t="str">
        <v>Low</v>
      </c>
      <c r="O556" t="s">
        <v>64</v>
      </c>
    </row>
    <row r="557" spans="1:15" x14ac:dyDescent="0.3">
      <c r="A557" t="s">
        <v>595</v>
      </c>
      <c r="B557" s="1">
        <v>45848</v>
      </c>
      <c r="C557" t="s">
        <v>1226</v>
      </c>
      <c r="D557" t="s">
        <v>72</v>
      </c>
      <c r="E557" t="s">
        <v>1245</v>
      </c>
      <c r="F557" t="s">
        <v>1328</v>
      </c>
      <c r="G557" t="s">
        <v>60</v>
      </c>
      <c r="H557" t="s">
        <v>53</v>
      </c>
      <c r="I557">
        <v>7</v>
      </c>
      <c r="J557" s="24">
        <v>192.8</v>
      </c>
      <c r="K557" s="24">
        <f t="shared" si="16"/>
        <v>1349.6000000000001</v>
      </c>
      <c r="L557" s="24">
        <v>1846.43</v>
      </c>
      <c r="M557" s="2">
        <f t="shared" si="17"/>
        <v>496.82999999999993</v>
      </c>
      <c r="N557" t="str">
        <v>Low</v>
      </c>
      <c r="O557" t="s">
        <v>65</v>
      </c>
    </row>
    <row r="558" spans="1:15" x14ac:dyDescent="0.3">
      <c r="A558" t="s">
        <v>596</v>
      </c>
      <c r="B558" s="1">
        <v>45849</v>
      </c>
      <c r="C558" t="s">
        <v>1131</v>
      </c>
      <c r="D558" t="s">
        <v>72</v>
      </c>
      <c r="E558" t="s">
        <v>1246</v>
      </c>
      <c r="F558" t="s">
        <v>1293</v>
      </c>
      <c r="G558" t="s">
        <v>60</v>
      </c>
      <c r="H558" t="s">
        <v>53</v>
      </c>
      <c r="I558">
        <v>2</v>
      </c>
      <c r="J558" s="24">
        <v>183.2</v>
      </c>
      <c r="K558" s="24">
        <f t="shared" si="16"/>
        <v>366.4</v>
      </c>
      <c r="L558" s="24">
        <v>413.12</v>
      </c>
      <c r="M558" s="2">
        <f t="shared" si="17"/>
        <v>46.720000000000027</v>
      </c>
      <c r="N558" t="str">
        <v>Low</v>
      </c>
      <c r="O558" t="s">
        <v>65</v>
      </c>
    </row>
    <row r="559" spans="1:15" x14ac:dyDescent="0.3">
      <c r="A559" t="s">
        <v>597</v>
      </c>
      <c r="B559" s="1">
        <v>45850</v>
      </c>
      <c r="C559" t="s">
        <v>1207</v>
      </c>
      <c r="D559" t="s">
        <v>73</v>
      </c>
      <c r="E559" t="s">
        <v>1250</v>
      </c>
      <c r="F559" t="s">
        <v>1319</v>
      </c>
      <c r="G559" t="s">
        <v>60</v>
      </c>
      <c r="H559" t="s">
        <v>53</v>
      </c>
      <c r="I559">
        <v>4</v>
      </c>
      <c r="J559" s="24">
        <v>412.72</v>
      </c>
      <c r="K559" s="24">
        <f t="shared" si="16"/>
        <v>1650.88</v>
      </c>
      <c r="L559" s="24">
        <v>2189.7199999999998</v>
      </c>
      <c r="M559" s="2">
        <f t="shared" si="17"/>
        <v>538.83999999999969</v>
      </c>
      <c r="N559" t="str">
        <v>High</v>
      </c>
      <c r="O559" t="s">
        <v>63</v>
      </c>
    </row>
    <row r="560" spans="1:15" x14ac:dyDescent="0.3">
      <c r="A560" t="s">
        <v>598</v>
      </c>
      <c r="B560" s="1">
        <v>45851</v>
      </c>
      <c r="C560" t="s">
        <v>1101</v>
      </c>
      <c r="D560" t="s">
        <v>73</v>
      </c>
      <c r="E560" t="s">
        <v>1250</v>
      </c>
      <c r="F560" t="s">
        <v>1274</v>
      </c>
      <c r="G560" t="s">
        <v>60</v>
      </c>
      <c r="H560" t="s">
        <v>51</v>
      </c>
      <c r="I560">
        <v>7</v>
      </c>
      <c r="J560" s="24">
        <v>434.94</v>
      </c>
      <c r="K560" s="24">
        <f t="shared" si="16"/>
        <v>3044.58</v>
      </c>
      <c r="L560" s="24">
        <v>3572.2</v>
      </c>
      <c r="M560" s="2">
        <f t="shared" si="17"/>
        <v>527.61999999999989</v>
      </c>
      <c r="N560" t="str">
        <v>High</v>
      </c>
      <c r="O560" t="s">
        <v>63</v>
      </c>
    </row>
    <row r="561" spans="1:15" x14ac:dyDescent="0.3">
      <c r="A561" t="s">
        <v>599</v>
      </c>
      <c r="B561" s="1">
        <v>45852</v>
      </c>
      <c r="C561" t="s">
        <v>1098</v>
      </c>
      <c r="D561" t="s">
        <v>73</v>
      </c>
      <c r="E561" t="s">
        <v>1250</v>
      </c>
      <c r="F561" t="s">
        <v>1319</v>
      </c>
      <c r="G561" t="s">
        <v>60</v>
      </c>
      <c r="H561" t="s">
        <v>52</v>
      </c>
      <c r="I561">
        <v>9</v>
      </c>
      <c r="J561" s="24">
        <v>382.96</v>
      </c>
      <c r="K561" s="24">
        <f t="shared" si="16"/>
        <v>3446.64</v>
      </c>
      <c r="L561" s="24">
        <v>4659.6000000000004</v>
      </c>
      <c r="M561" s="2">
        <f t="shared" si="17"/>
        <v>1212.9600000000005</v>
      </c>
      <c r="N561" t="str">
        <v>High</v>
      </c>
      <c r="O561" t="s">
        <v>64</v>
      </c>
    </row>
    <row r="562" spans="1:15" x14ac:dyDescent="0.3">
      <c r="A562" t="s">
        <v>600</v>
      </c>
      <c r="B562" s="1">
        <v>45853</v>
      </c>
      <c r="C562" t="s">
        <v>1185</v>
      </c>
      <c r="D562" t="s">
        <v>72</v>
      </c>
      <c r="E562" t="s">
        <v>1253</v>
      </c>
      <c r="F562" t="s">
        <v>1281</v>
      </c>
      <c r="G562" t="s">
        <v>60</v>
      </c>
      <c r="H562" t="s">
        <v>52</v>
      </c>
      <c r="I562">
        <v>2</v>
      </c>
      <c r="J562" s="24">
        <v>414.89</v>
      </c>
      <c r="K562" s="24">
        <f t="shared" si="16"/>
        <v>829.78</v>
      </c>
      <c r="L562" s="24">
        <v>945.39</v>
      </c>
      <c r="M562" s="2">
        <f t="shared" si="17"/>
        <v>115.61000000000001</v>
      </c>
      <c r="N562" t="str">
        <v>Low</v>
      </c>
      <c r="O562" t="s">
        <v>65</v>
      </c>
    </row>
    <row r="563" spans="1:15" x14ac:dyDescent="0.3">
      <c r="A563" t="s">
        <v>601</v>
      </c>
      <c r="B563" s="1">
        <v>45854</v>
      </c>
      <c r="C563" t="s">
        <v>1090</v>
      </c>
      <c r="D563" t="s">
        <v>72</v>
      </c>
      <c r="E563" t="s">
        <v>1245</v>
      </c>
      <c r="F563" t="s">
        <v>1277</v>
      </c>
      <c r="G563" t="s">
        <v>60</v>
      </c>
      <c r="H563" t="s">
        <v>52</v>
      </c>
      <c r="I563">
        <v>9</v>
      </c>
      <c r="J563" s="24">
        <v>136.47999999999999</v>
      </c>
      <c r="K563" s="24">
        <f t="shared" si="16"/>
        <v>1228.32</v>
      </c>
      <c r="L563" s="24">
        <v>1801.32</v>
      </c>
      <c r="M563" s="2">
        <f t="shared" si="17"/>
        <v>573</v>
      </c>
      <c r="N563" t="str">
        <v>Low</v>
      </c>
      <c r="O563" t="s">
        <v>65</v>
      </c>
    </row>
    <row r="564" spans="1:15" x14ac:dyDescent="0.3">
      <c r="A564" t="s">
        <v>602</v>
      </c>
      <c r="B564" s="1">
        <v>45855</v>
      </c>
      <c r="C564" t="s">
        <v>1229</v>
      </c>
      <c r="D564" t="s">
        <v>72</v>
      </c>
      <c r="E564" t="s">
        <v>1246</v>
      </c>
      <c r="F564" t="s">
        <v>1300</v>
      </c>
      <c r="G564" t="s">
        <v>60</v>
      </c>
      <c r="H564" t="s">
        <v>52</v>
      </c>
      <c r="I564">
        <v>9</v>
      </c>
      <c r="J564" s="24">
        <v>451.04</v>
      </c>
      <c r="K564" s="24">
        <f t="shared" si="16"/>
        <v>4059.36</v>
      </c>
      <c r="L564" s="24">
        <v>5993.78</v>
      </c>
      <c r="M564" s="2">
        <f t="shared" si="17"/>
        <v>1934.4199999999996</v>
      </c>
      <c r="N564" t="str">
        <v>High</v>
      </c>
      <c r="O564" t="s">
        <v>64</v>
      </c>
    </row>
    <row r="565" spans="1:15" x14ac:dyDescent="0.3">
      <c r="A565" t="s">
        <v>603</v>
      </c>
      <c r="B565" s="1">
        <v>45856</v>
      </c>
      <c r="C565" t="s">
        <v>1185</v>
      </c>
      <c r="D565" t="s">
        <v>72</v>
      </c>
      <c r="E565" t="s">
        <v>1245</v>
      </c>
      <c r="F565" t="s">
        <v>1265</v>
      </c>
      <c r="G565" t="s">
        <v>60</v>
      </c>
      <c r="H565" t="s">
        <v>53</v>
      </c>
      <c r="I565">
        <v>8</v>
      </c>
      <c r="J565" s="24">
        <v>280</v>
      </c>
      <c r="K565" s="24">
        <f t="shared" si="16"/>
        <v>2240</v>
      </c>
      <c r="L565" s="24">
        <v>2819</v>
      </c>
      <c r="M565" s="2">
        <f t="shared" si="17"/>
        <v>579</v>
      </c>
      <c r="N565" t="str">
        <v>High</v>
      </c>
      <c r="O565" t="s">
        <v>64</v>
      </c>
    </row>
    <row r="566" spans="1:15" x14ac:dyDescent="0.3">
      <c r="A566" t="s">
        <v>604</v>
      </c>
      <c r="B566" s="1">
        <v>45857</v>
      </c>
      <c r="C566" t="s">
        <v>1048</v>
      </c>
      <c r="D566" t="s">
        <v>74</v>
      </c>
      <c r="E566" t="s">
        <v>1244</v>
      </c>
      <c r="F566" t="s">
        <v>58</v>
      </c>
      <c r="G566" t="s">
        <v>60</v>
      </c>
      <c r="H566" t="s">
        <v>52</v>
      </c>
      <c r="I566">
        <v>9</v>
      </c>
      <c r="J566" s="24">
        <v>108.38</v>
      </c>
      <c r="K566" s="24">
        <f t="shared" si="16"/>
        <v>975.42</v>
      </c>
      <c r="L566" s="24">
        <v>1274.42</v>
      </c>
      <c r="M566" s="2">
        <f t="shared" si="17"/>
        <v>299.00000000000011</v>
      </c>
      <c r="N566" t="str">
        <v>Low</v>
      </c>
      <c r="O566" t="s">
        <v>63</v>
      </c>
    </row>
    <row r="567" spans="1:15" x14ac:dyDescent="0.3">
      <c r="A567" t="s">
        <v>605</v>
      </c>
      <c r="B567" s="1">
        <v>45858</v>
      </c>
      <c r="C567" t="s">
        <v>1101</v>
      </c>
      <c r="D567" t="s">
        <v>71</v>
      </c>
      <c r="E567" t="s">
        <v>1248</v>
      </c>
      <c r="F567" t="s">
        <v>1291</v>
      </c>
      <c r="G567" t="s">
        <v>60</v>
      </c>
      <c r="H567" t="s">
        <v>54</v>
      </c>
      <c r="I567">
        <v>9</v>
      </c>
      <c r="J567" s="24">
        <v>491.46</v>
      </c>
      <c r="K567" s="24">
        <f t="shared" si="16"/>
        <v>4423.1399999999994</v>
      </c>
      <c r="L567" s="24">
        <v>5334.04</v>
      </c>
      <c r="M567" s="2">
        <f t="shared" si="17"/>
        <v>910.90000000000055</v>
      </c>
      <c r="N567" t="str">
        <v>High</v>
      </c>
      <c r="O567" t="s">
        <v>63</v>
      </c>
    </row>
    <row r="568" spans="1:15" x14ac:dyDescent="0.3">
      <c r="A568" t="s">
        <v>606</v>
      </c>
      <c r="B568" s="1">
        <v>45859</v>
      </c>
      <c r="C568" t="s">
        <v>1169</v>
      </c>
      <c r="D568" t="s">
        <v>74</v>
      </c>
      <c r="E568" t="s">
        <v>1249</v>
      </c>
      <c r="F568" t="s">
        <v>1308</v>
      </c>
      <c r="G568" t="s">
        <v>60</v>
      </c>
      <c r="H568" t="s">
        <v>51</v>
      </c>
      <c r="I568">
        <v>8</v>
      </c>
      <c r="J568" s="24">
        <v>495.89</v>
      </c>
      <c r="K568" s="24">
        <f t="shared" si="16"/>
        <v>3967.12</v>
      </c>
      <c r="L568" s="24">
        <v>4635.68</v>
      </c>
      <c r="M568" s="2">
        <f t="shared" si="17"/>
        <v>668.5600000000004</v>
      </c>
      <c r="N568" t="str">
        <v>High</v>
      </c>
      <c r="O568" t="s">
        <v>65</v>
      </c>
    </row>
    <row r="569" spans="1:15" x14ac:dyDescent="0.3">
      <c r="A569" t="s">
        <v>607</v>
      </c>
      <c r="B569" s="1">
        <v>45860</v>
      </c>
      <c r="C569" t="s">
        <v>1230</v>
      </c>
      <c r="D569" t="s">
        <v>72</v>
      </c>
      <c r="E569" t="s">
        <v>1245</v>
      </c>
      <c r="F569" t="s">
        <v>1277</v>
      </c>
      <c r="G569" t="s">
        <v>60</v>
      </c>
      <c r="H569" t="s">
        <v>54</v>
      </c>
      <c r="I569">
        <v>2</v>
      </c>
      <c r="J569" s="24">
        <v>388.32</v>
      </c>
      <c r="K569" s="24">
        <f t="shared" si="16"/>
        <v>776.64</v>
      </c>
      <c r="L569" s="24">
        <v>1124.53</v>
      </c>
      <c r="M569" s="2">
        <f t="shared" si="17"/>
        <v>347.89</v>
      </c>
      <c r="N569" t="str">
        <v>Low</v>
      </c>
      <c r="O569" t="s">
        <v>63</v>
      </c>
    </row>
    <row r="570" spans="1:15" x14ac:dyDescent="0.3">
      <c r="A570" t="s">
        <v>608</v>
      </c>
      <c r="B570" s="1">
        <v>45861</v>
      </c>
      <c r="C570" t="s">
        <v>1230</v>
      </c>
      <c r="D570" t="s">
        <v>72</v>
      </c>
      <c r="E570" t="s">
        <v>1245</v>
      </c>
      <c r="F570" t="s">
        <v>1265</v>
      </c>
      <c r="G570" t="s">
        <v>60</v>
      </c>
      <c r="H570" t="s">
        <v>52</v>
      </c>
      <c r="I570">
        <v>2</v>
      </c>
      <c r="J570" s="24">
        <v>236.35</v>
      </c>
      <c r="K570" s="24">
        <f t="shared" si="16"/>
        <v>472.7</v>
      </c>
      <c r="L570" s="24">
        <v>672.01</v>
      </c>
      <c r="M570" s="2">
        <f t="shared" si="17"/>
        <v>199.31</v>
      </c>
      <c r="N570" t="str">
        <v>Low</v>
      </c>
      <c r="O570" t="s">
        <v>63</v>
      </c>
    </row>
    <row r="571" spans="1:15" x14ac:dyDescent="0.3">
      <c r="A571" t="s">
        <v>609</v>
      </c>
      <c r="B571" s="1">
        <v>45862</v>
      </c>
      <c r="C571" t="s">
        <v>1201</v>
      </c>
      <c r="D571" t="s">
        <v>72</v>
      </c>
      <c r="E571" t="s">
        <v>1245</v>
      </c>
      <c r="F571" t="s">
        <v>1263</v>
      </c>
      <c r="G571" t="s">
        <v>60</v>
      </c>
      <c r="H571" t="s">
        <v>51</v>
      </c>
      <c r="I571">
        <v>2</v>
      </c>
      <c r="J571" s="24">
        <v>46.15</v>
      </c>
      <c r="K571" s="24">
        <f t="shared" si="16"/>
        <v>92.3</v>
      </c>
      <c r="L571" s="24">
        <v>132.37</v>
      </c>
      <c r="M571" s="2">
        <f t="shared" si="17"/>
        <v>40.070000000000007</v>
      </c>
      <c r="N571" t="str">
        <v>Low</v>
      </c>
      <c r="O571" t="s">
        <v>64</v>
      </c>
    </row>
    <row r="572" spans="1:15" x14ac:dyDescent="0.3">
      <c r="A572" t="s">
        <v>610</v>
      </c>
      <c r="B572" s="1">
        <v>45863</v>
      </c>
      <c r="C572" t="s">
        <v>1098</v>
      </c>
      <c r="D572" t="s">
        <v>71</v>
      </c>
      <c r="E572" t="s">
        <v>1248</v>
      </c>
      <c r="F572" t="s">
        <v>1291</v>
      </c>
      <c r="G572" t="s">
        <v>60</v>
      </c>
      <c r="H572" t="s">
        <v>54</v>
      </c>
      <c r="I572">
        <v>2</v>
      </c>
      <c r="J572" s="24">
        <v>127.74</v>
      </c>
      <c r="K572" s="24">
        <f t="shared" si="16"/>
        <v>255.48</v>
      </c>
      <c r="L572" s="24">
        <v>353.76</v>
      </c>
      <c r="M572" s="2">
        <f t="shared" si="17"/>
        <v>98.28</v>
      </c>
      <c r="N572" t="str">
        <v>Low</v>
      </c>
      <c r="O572" t="s">
        <v>65</v>
      </c>
    </row>
    <row r="573" spans="1:15" x14ac:dyDescent="0.3">
      <c r="A573" t="s">
        <v>611</v>
      </c>
      <c r="B573" s="1">
        <v>45864</v>
      </c>
      <c r="C573" t="s">
        <v>1216</v>
      </c>
      <c r="D573" t="s">
        <v>74</v>
      </c>
      <c r="E573" t="s">
        <v>1244</v>
      </c>
      <c r="F573" t="s">
        <v>1330</v>
      </c>
      <c r="G573" t="s">
        <v>60</v>
      </c>
      <c r="H573" t="s">
        <v>53</v>
      </c>
      <c r="I573">
        <v>3</v>
      </c>
      <c r="J573" s="24">
        <v>241.65</v>
      </c>
      <c r="K573" s="24">
        <f t="shared" si="16"/>
        <v>724.95</v>
      </c>
      <c r="L573" s="24">
        <v>965.35</v>
      </c>
      <c r="M573" s="2">
        <f t="shared" si="17"/>
        <v>240.39999999999998</v>
      </c>
      <c r="N573" t="str">
        <v>Low</v>
      </c>
      <c r="O573" t="s">
        <v>65</v>
      </c>
    </row>
    <row r="574" spans="1:15" x14ac:dyDescent="0.3">
      <c r="A574" t="s">
        <v>612</v>
      </c>
      <c r="B574" s="1">
        <v>45865</v>
      </c>
      <c r="C574" t="s">
        <v>1092</v>
      </c>
      <c r="D574" t="s">
        <v>74</v>
      </c>
      <c r="E574" t="s">
        <v>1249</v>
      </c>
      <c r="F574" t="s">
        <v>1270</v>
      </c>
      <c r="G574" t="s">
        <v>60</v>
      </c>
      <c r="H574" t="s">
        <v>51</v>
      </c>
      <c r="I574">
        <v>8</v>
      </c>
      <c r="J574" s="24">
        <v>413</v>
      </c>
      <c r="K574" s="24">
        <f t="shared" si="16"/>
        <v>3304</v>
      </c>
      <c r="L574" s="24">
        <v>4384.84</v>
      </c>
      <c r="M574" s="2">
        <f t="shared" si="17"/>
        <v>1080.8400000000001</v>
      </c>
      <c r="N574" t="str">
        <v>High</v>
      </c>
      <c r="O574" t="s">
        <v>65</v>
      </c>
    </row>
    <row r="575" spans="1:15" x14ac:dyDescent="0.3">
      <c r="A575" t="s">
        <v>613</v>
      </c>
      <c r="B575" s="1">
        <v>45866</v>
      </c>
      <c r="C575" t="s">
        <v>1120</v>
      </c>
      <c r="D575" t="s">
        <v>71</v>
      </c>
      <c r="E575" t="s">
        <v>1241</v>
      </c>
      <c r="F575" t="s">
        <v>57</v>
      </c>
      <c r="G575" t="s">
        <v>60</v>
      </c>
      <c r="H575" t="s">
        <v>53</v>
      </c>
      <c r="I575">
        <v>1</v>
      </c>
      <c r="J575" s="24">
        <v>229.34</v>
      </c>
      <c r="K575" s="24">
        <f t="shared" si="16"/>
        <v>229.34</v>
      </c>
      <c r="L575" s="24">
        <v>307.58</v>
      </c>
      <c r="M575" s="2">
        <f t="shared" si="17"/>
        <v>78.239999999999981</v>
      </c>
      <c r="N575" t="str">
        <v>Low</v>
      </c>
      <c r="O575" t="s">
        <v>64</v>
      </c>
    </row>
    <row r="576" spans="1:15" x14ac:dyDescent="0.3">
      <c r="A576" t="s">
        <v>614</v>
      </c>
      <c r="B576" s="1">
        <v>45867</v>
      </c>
      <c r="C576" t="s">
        <v>1185</v>
      </c>
      <c r="D576" t="s">
        <v>71</v>
      </c>
      <c r="E576" t="s">
        <v>1240</v>
      </c>
      <c r="F576" t="s">
        <v>1258</v>
      </c>
      <c r="G576" t="s">
        <v>60</v>
      </c>
      <c r="H576" t="s">
        <v>51</v>
      </c>
      <c r="I576">
        <v>7</v>
      </c>
      <c r="J576" s="24">
        <v>117.95</v>
      </c>
      <c r="K576" s="24">
        <f t="shared" si="16"/>
        <v>825.65</v>
      </c>
      <c r="L576" s="24">
        <v>933.47</v>
      </c>
      <c r="M576" s="2">
        <f t="shared" si="17"/>
        <v>107.82000000000005</v>
      </c>
      <c r="N576" t="str">
        <v>Low</v>
      </c>
      <c r="O576" t="s">
        <v>65</v>
      </c>
    </row>
    <row r="577" spans="1:15" x14ac:dyDescent="0.3">
      <c r="A577" t="s">
        <v>615</v>
      </c>
      <c r="B577" s="1">
        <v>45868</v>
      </c>
      <c r="C577" t="s">
        <v>1058</v>
      </c>
      <c r="D577" t="s">
        <v>74</v>
      </c>
      <c r="E577" t="s">
        <v>1249</v>
      </c>
      <c r="F577" t="s">
        <v>1325</v>
      </c>
      <c r="G577" t="s">
        <v>60</v>
      </c>
      <c r="H577" t="s">
        <v>51</v>
      </c>
      <c r="I577">
        <v>7</v>
      </c>
      <c r="J577" s="24">
        <v>222.81</v>
      </c>
      <c r="K577" s="24">
        <f t="shared" si="16"/>
        <v>1559.67</v>
      </c>
      <c r="L577" s="24">
        <v>2113.02</v>
      </c>
      <c r="M577" s="2">
        <f t="shared" si="17"/>
        <v>553.34999999999991</v>
      </c>
      <c r="N577" t="str">
        <v>High</v>
      </c>
      <c r="O577" t="s">
        <v>64</v>
      </c>
    </row>
    <row r="578" spans="1:15" x14ac:dyDescent="0.3">
      <c r="A578" t="s">
        <v>616</v>
      </c>
      <c r="B578" s="1">
        <v>45869</v>
      </c>
      <c r="C578" t="s">
        <v>1158</v>
      </c>
      <c r="D578" t="s">
        <v>73</v>
      </c>
      <c r="E578" t="s">
        <v>1250</v>
      </c>
      <c r="F578" t="s">
        <v>1284</v>
      </c>
      <c r="G578" t="s">
        <v>60</v>
      </c>
      <c r="H578" t="s">
        <v>54</v>
      </c>
      <c r="I578">
        <v>6</v>
      </c>
      <c r="J578" s="24">
        <v>486.15</v>
      </c>
      <c r="K578" s="24">
        <f t="shared" si="16"/>
        <v>2916.8999999999996</v>
      </c>
      <c r="L578" s="24">
        <v>3466.7</v>
      </c>
      <c r="M578" s="2">
        <f t="shared" si="17"/>
        <v>549.80000000000018</v>
      </c>
      <c r="N578" t="str">
        <v>High</v>
      </c>
      <c r="O578" t="s">
        <v>65</v>
      </c>
    </row>
    <row r="579" spans="1:15" x14ac:dyDescent="0.3">
      <c r="A579" t="s">
        <v>617</v>
      </c>
      <c r="B579" s="1">
        <v>45870</v>
      </c>
      <c r="C579" t="s">
        <v>1182</v>
      </c>
      <c r="D579" t="s">
        <v>71</v>
      </c>
      <c r="E579" t="s">
        <v>1248</v>
      </c>
      <c r="F579" t="s">
        <v>1271</v>
      </c>
      <c r="G579" t="s">
        <v>60</v>
      </c>
      <c r="H579" t="s">
        <v>53</v>
      </c>
      <c r="I579">
        <v>5</v>
      </c>
      <c r="J579" s="24">
        <v>456.58</v>
      </c>
      <c r="K579" s="24">
        <f t="shared" ref="K579:K642" si="18">J579*I579</f>
        <v>2282.9</v>
      </c>
      <c r="L579" s="24">
        <v>3113.38</v>
      </c>
      <c r="M579" s="2">
        <f t="shared" ref="M579:M642" si="19">L579-K579</f>
        <v>830.48</v>
      </c>
      <c r="N579" t="str">
        <v>High</v>
      </c>
      <c r="O579" t="s">
        <v>65</v>
      </c>
    </row>
    <row r="580" spans="1:15" x14ac:dyDescent="0.3">
      <c r="A580" t="s">
        <v>618</v>
      </c>
      <c r="B580" s="1">
        <v>45871</v>
      </c>
      <c r="C580" t="s">
        <v>1163</v>
      </c>
      <c r="D580" t="s">
        <v>74</v>
      </c>
      <c r="E580" t="s">
        <v>1247</v>
      </c>
      <c r="F580" t="s">
        <v>1283</v>
      </c>
      <c r="G580" t="s">
        <v>60</v>
      </c>
      <c r="H580" t="s">
        <v>54</v>
      </c>
      <c r="I580">
        <v>4</v>
      </c>
      <c r="J580" s="24">
        <v>74.38</v>
      </c>
      <c r="K580" s="24">
        <f t="shared" si="18"/>
        <v>297.52</v>
      </c>
      <c r="L580" s="24">
        <v>391.55</v>
      </c>
      <c r="M580" s="2">
        <f t="shared" si="19"/>
        <v>94.03000000000003</v>
      </c>
      <c r="N580" t="str">
        <v>Low</v>
      </c>
      <c r="O580" t="s">
        <v>65</v>
      </c>
    </row>
    <row r="581" spans="1:15" x14ac:dyDescent="0.3">
      <c r="A581" t="s">
        <v>619</v>
      </c>
      <c r="B581" s="1">
        <v>45872</v>
      </c>
      <c r="C581" t="s">
        <v>1189</v>
      </c>
      <c r="D581" t="s">
        <v>73</v>
      </c>
      <c r="E581" t="s">
        <v>1252</v>
      </c>
      <c r="F581" t="s">
        <v>1278</v>
      </c>
      <c r="G581" t="s">
        <v>60</v>
      </c>
      <c r="H581" t="s">
        <v>54</v>
      </c>
      <c r="I581">
        <v>7</v>
      </c>
      <c r="J581" s="24">
        <v>259.48</v>
      </c>
      <c r="K581" s="24">
        <f t="shared" si="18"/>
        <v>1816.3600000000001</v>
      </c>
      <c r="L581" s="24">
        <v>2399.15</v>
      </c>
      <c r="M581" s="2">
        <f t="shared" si="19"/>
        <v>582.79</v>
      </c>
      <c r="N581" t="str">
        <v>High</v>
      </c>
      <c r="O581" t="s">
        <v>63</v>
      </c>
    </row>
    <row r="582" spans="1:15" x14ac:dyDescent="0.3">
      <c r="A582" t="s">
        <v>620</v>
      </c>
      <c r="B582" s="1">
        <v>45873</v>
      </c>
      <c r="C582" t="s">
        <v>1080</v>
      </c>
      <c r="D582" t="s">
        <v>1255</v>
      </c>
      <c r="E582" t="s">
        <v>59</v>
      </c>
      <c r="F582" t="s">
        <v>1295</v>
      </c>
      <c r="G582" t="s">
        <v>60</v>
      </c>
      <c r="H582" t="s">
        <v>54</v>
      </c>
      <c r="I582">
        <v>6</v>
      </c>
      <c r="J582" s="24">
        <v>73.59</v>
      </c>
      <c r="K582" s="24">
        <f t="shared" si="18"/>
        <v>441.54</v>
      </c>
      <c r="L582" s="24">
        <v>619.92999999999995</v>
      </c>
      <c r="M582" s="2">
        <f t="shared" si="19"/>
        <v>178.38999999999993</v>
      </c>
      <c r="N582" t="str">
        <v>Low</v>
      </c>
      <c r="O582" t="s">
        <v>63</v>
      </c>
    </row>
    <row r="583" spans="1:15" x14ac:dyDescent="0.3">
      <c r="A583" t="s">
        <v>621</v>
      </c>
      <c r="B583" s="1">
        <v>45874</v>
      </c>
      <c r="C583" t="s">
        <v>1124</v>
      </c>
      <c r="D583" t="s">
        <v>71</v>
      </c>
      <c r="E583" t="s">
        <v>1240</v>
      </c>
      <c r="F583" t="s">
        <v>1258</v>
      </c>
      <c r="G583" t="s">
        <v>60</v>
      </c>
      <c r="H583" t="s">
        <v>51</v>
      </c>
      <c r="I583">
        <v>7</v>
      </c>
      <c r="J583" s="24">
        <v>20.149999999999999</v>
      </c>
      <c r="K583" s="24">
        <f t="shared" si="18"/>
        <v>141.04999999999998</v>
      </c>
      <c r="L583" s="24">
        <v>211.57</v>
      </c>
      <c r="M583" s="2">
        <f t="shared" si="19"/>
        <v>70.52000000000001</v>
      </c>
      <c r="N583" t="str">
        <v>Low</v>
      </c>
      <c r="O583" t="s">
        <v>64</v>
      </c>
    </row>
    <row r="584" spans="1:15" x14ac:dyDescent="0.3">
      <c r="A584" t="s">
        <v>622</v>
      </c>
      <c r="B584" s="1">
        <v>45875</v>
      </c>
      <c r="C584" t="s">
        <v>1138</v>
      </c>
      <c r="D584" t="s">
        <v>71</v>
      </c>
      <c r="E584" t="s">
        <v>1254</v>
      </c>
      <c r="F584" t="s">
        <v>1292</v>
      </c>
      <c r="G584" t="s">
        <v>60</v>
      </c>
      <c r="H584" t="s">
        <v>52</v>
      </c>
      <c r="I584">
        <v>8</v>
      </c>
      <c r="J584" s="24">
        <v>144.38</v>
      </c>
      <c r="K584" s="24">
        <f t="shared" si="18"/>
        <v>1155.04</v>
      </c>
      <c r="L584" s="24">
        <v>1448.13</v>
      </c>
      <c r="M584" s="2">
        <f t="shared" si="19"/>
        <v>293.09000000000015</v>
      </c>
      <c r="N584" t="str">
        <v>Low</v>
      </c>
      <c r="O584" t="s">
        <v>64</v>
      </c>
    </row>
    <row r="585" spans="1:15" x14ac:dyDescent="0.3">
      <c r="A585" t="s">
        <v>623</v>
      </c>
      <c r="B585" s="1">
        <v>45876</v>
      </c>
      <c r="C585" t="s">
        <v>1072</v>
      </c>
      <c r="D585" t="s">
        <v>73</v>
      </c>
      <c r="E585" t="s">
        <v>1250</v>
      </c>
      <c r="F585" t="s">
        <v>1274</v>
      </c>
      <c r="G585" t="s">
        <v>60</v>
      </c>
      <c r="H585" t="s">
        <v>52</v>
      </c>
      <c r="I585">
        <v>5</v>
      </c>
      <c r="J585" s="24">
        <v>452.78</v>
      </c>
      <c r="K585" s="24">
        <f t="shared" si="18"/>
        <v>2263.8999999999996</v>
      </c>
      <c r="L585" s="24">
        <v>3338.33</v>
      </c>
      <c r="M585" s="2">
        <f t="shared" si="19"/>
        <v>1074.4300000000003</v>
      </c>
      <c r="N585" t="str">
        <v>High</v>
      </c>
      <c r="O585" t="s">
        <v>65</v>
      </c>
    </row>
    <row r="586" spans="1:15" x14ac:dyDescent="0.3">
      <c r="A586" t="s">
        <v>624</v>
      </c>
      <c r="B586" s="1">
        <v>45877</v>
      </c>
      <c r="C586" t="s">
        <v>1220</v>
      </c>
      <c r="D586" t="s">
        <v>71</v>
      </c>
      <c r="E586" t="s">
        <v>1240</v>
      </c>
      <c r="F586" t="s">
        <v>1275</v>
      </c>
      <c r="G586" t="s">
        <v>60</v>
      </c>
      <c r="H586" t="s">
        <v>53</v>
      </c>
      <c r="I586">
        <v>7</v>
      </c>
      <c r="J586" s="24">
        <v>360.97</v>
      </c>
      <c r="K586" s="24">
        <f t="shared" si="18"/>
        <v>2526.79</v>
      </c>
      <c r="L586" s="24">
        <v>3096.55</v>
      </c>
      <c r="M586" s="2">
        <f t="shared" si="19"/>
        <v>569.76000000000022</v>
      </c>
      <c r="N586" t="str">
        <v>High</v>
      </c>
      <c r="O586" t="s">
        <v>65</v>
      </c>
    </row>
    <row r="587" spans="1:15" x14ac:dyDescent="0.3">
      <c r="A587" t="s">
        <v>625</v>
      </c>
      <c r="B587" s="1">
        <v>45878</v>
      </c>
      <c r="C587" t="s">
        <v>1050</v>
      </c>
      <c r="D587" t="s">
        <v>72</v>
      </c>
      <c r="E587" t="s">
        <v>1242</v>
      </c>
      <c r="F587" t="s">
        <v>1294</v>
      </c>
      <c r="G587" t="s">
        <v>60</v>
      </c>
      <c r="H587" t="s">
        <v>52</v>
      </c>
      <c r="I587">
        <v>9</v>
      </c>
      <c r="J587" s="24">
        <v>198.5</v>
      </c>
      <c r="K587" s="24">
        <f t="shared" si="18"/>
        <v>1786.5</v>
      </c>
      <c r="L587" s="24">
        <v>2267.9299999999998</v>
      </c>
      <c r="M587" s="2">
        <f t="shared" si="19"/>
        <v>481.42999999999984</v>
      </c>
      <c r="N587" t="str">
        <v>High</v>
      </c>
      <c r="O587" t="s">
        <v>64</v>
      </c>
    </row>
    <row r="588" spans="1:15" x14ac:dyDescent="0.3">
      <c r="A588" t="s">
        <v>626</v>
      </c>
      <c r="B588" s="1">
        <v>45879</v>
      </c>
      <c r="C588" t="s">
        <v>1100</v>
      </c>
      <c r="D588" t="s">
        <v>73</v>
      </c>
      <c r="E588" t="s">
        <v>1252</v>
      </c>
      <c r="F588" t="s">
        <v>1317</v>
      </c>
      <c r="G588" t="s">
        <v>60</v>
      </c>
      <c r="H588" t="s">
        <v>53</v>
      </c>
      <c r="I588">
        <v>2</v>
      </c>
      <c r="J588" s="24">
        <v>291.95</v>
      </c>
      <c r="K588" s="24">
        <f t="shared" si="18"/>
        <v>583.9</v>
      </c>
      <c r="L588" s="24">
        <v>777.1</v>
      </c>
      <c r="M588" s="2">
        <f t="shared" si="19"/>
        <v>193.20000000000005</v>
      </c>
      <c r="N588" t="str">
        <v>Low</v>
      </c>
      <c r="O588" t="s">
        <v>65</v>
      </c>
    </row>
    <row r="589" spans="1:15" x14ac:dyDescent="0.3">
      <c r="A589" t="s">
        <v>627</v>
      </c>
      <c r="B589" s="1">
        <v>45880</v>
      </c>
      <c r="C589" t="s">
        <v>1044</v>
      </c>
      <c r="D589" t="s">
        <v>71</v>
      </c>
      <c r="E589" t="s">
        <v>1251</v>
      </c>
      <c r="F589" t="s">
        <v>1315</v>
      </c>
      <c r="G589" t="s">
        <v>60</v>
      </c>
      <c r="H589" t="s">
        <v>51</v>
      </c>
      <c r="I589">
        <v>4</v>
      </c>
      <c r="J589" s="24">
        <v>400.35</v>
      </c>
      <c r="K589" s="24">
        <f t="shared" si="18"/>
        <v>1601.4</v>
      </c>
      <c r="L589" s="24">
        <v>1851.61</v>
      </c>
      <c r="M589" s="2">
        <f t="shared" si="19"/>
        <v>250.20999999999981</v>
      </c>
      <c r="N589" t="str">
        <v>Low</v>
      </c>
      <c r="O589" t="s">
        <v>63</v>
      </c>
    </row>
    <row r="590" spans="1:15" x14ac:dyDescent="0.3">
      <c r="A590" t="s">
        <v>628</v>
      </c>
      <c r="B590" s="1">
        <v>45881</v>
      </c>
      <c r="C590" t="s">
        <v>1228</v>
      </c>
      <c r="D590" t="s">
        <v>74</v>
      </c>
      <c r="E590" t="s">
        <v>1244</v>
      </c>
      <c r="F590" t="s">
        <v>58</v>
      </c>
      <c r="G590" t="s">
        <v>60</v>
      </c>
      <c r="H590" t="s">
        <v>52</v>
      </c>
      <c r="I590">
        <v>4</v>
      </c>
      <c r="J590" s="24">
        <v>391.84</v>
      </c>
      <c r="K590" s="24">
        <f t="shared" si="18"/>
        <v>1567.36</v>
      </c>
      <c r="L590" s="24">
        <v>2009.43</v>
      </c>
      <c r="M590" s="2">
        <f t="shared" si="19"/>
        <v>442.07000000000016</v>
      </c>
      <c r="N590" t="str">
        <v>High</v>
      </c>
      <c r="O590" t="s">
        <v>63</v>
      </c>
    </row>
    <row r="591" spans="1:15" x14ac:dyDescent="0.3">
      <c r="A591" t="s">
        <v>629</v>
      </c>
      <c r="B591" s="1">
        <v>45882</v>
      </c>
      <c r="C591" t="s">
        <v>1224</v>
      </c>
      <c r="D591" t="s">
        <v>71</v>
      </c>
      <c r="E591" t="s">
        <v>1254</v>
      </c>
      <c r="F591" t="s">
        <v>1292</v>
      </c>
      <c r="G591" t="s">
        <v>60</v>
      </c>
      <c r="H591" t="s">
        <v>54</v>
      </c>
      <c r="I591">
        <v>4</v>
      </c>
      <c r="J591" s="24">
        <v>157.87</v>
      </c>
      <c r="K591" s="24">
        <f t="shared" si="18"/>
        <v>631.48</v>
      </c>
      <c r="L591" s="24">
        <v>782.32</v>
      </c>
      <c r="M591" s="2">
        <f t="shared" si="19"/>
        <v>150.84000000000003</v>
      </c>
      <c r="N591" t="str">
        <v>Low</v>
      </c>
      <c r="O591" t="s">
        <v>64</v>
      </c>
    </row>
    <row r="592" spans="1:15" x14ac:dyDescent="0.3">
      <c r="A592" t="s">
        <v>630</v>
      </c>
      <c r="B592" s="1">
        <v>45883</v>
      </c>
      <c r="C592" t="s">
        <v>1171</v>
      </c>
      <c r="D592" t="s">
        <v>1255</v>
      </c>
      <c r="E592" t="s">
        <v>59</v>
      </c>
      <c r="F592" t="s">
        <v>1262</v>
      </c>
      <c r="G592" t="s">
        <v>60</v>
      </c>
      <c r="H592" t="s">
        <v>51</v>
      </c>
      <c r="I592">
        <v>3</v>
      </c>
      <c r="J592" s="24">
        <v>24.39</v>
      </c>
      <c r="K592" s="24">
        <f t="shared" si="18"/>
        <v>73.17</v>
      </c>
      <c r="L592" s="24">
        <v>89.54</v>
      </c>
      <c r="M592" s="2">
        <f t="shared" si="19"/>
        <v>16.370000000000005</v>
      </c>
      <c r="N592" t="str">
        <v>Low</v>
      </c>
      <c r="O592" t="s">
        <v>65</v>
      </c>
    </row>
    <row r="593" spans="1:15" x14ac:dyDescent="0.3">
      <c r="A593" t="s">
        <v>631</v>
      </c>
      <c r="B593" s="1">
        <v>45884</v>
      </c>
      <c r="C593" t="s">
        <v>1162</v>
      </c>
      <c r="D593" t="s">
        <v>71</v>
      </c>
      <c r="E593" t="s">
        <v>1254</v>
      </c>
      <c r="F593" t="s">
        <v>1292</v>
      </c>
      <c r="G593" t="s">
        <v>60</v>
      </c>
      <c r="H593" t="s">
        <v>51</v>
      </c>
      <c r="I593">
        <v>4</v>
      </c>
      <c r="J593" s="24">
        <v>254.97</v>
      </c>
      <c r="K593" s="24">
        <f t="shared" si="18"/>
        <v>1019.88</v>
      </c>
      <c r="L593" s="24">
        <v>1421.55</v>
      </c>
      <c r="M593" s="2">
        <f t="shared" si="19"/>
        <v>401.66999999999996</v>
      </c>
      <c r="N593" t="str">
        <v>Low</v>
      </c>
      <c r="O593" t="s">
        <v>65</v>
      </c>
    </row>
    <row r="594" spans="1:15" x14ac:dyDescent="0.3">
      <c r="A594" t="s">
        <v>632</v>
      </c>
      <c r="B594" s="1">
        <v>45885</v>
      </c>
      <c r="C594" t="s">
        <v>1085</v>
      </c>
      <c r="D594" t="s">
        <v>73</v>
      </c>
      <c r="E594" t="s">
        <v>1243</v>
      </c>
      <c r="F594" t="s">
        <v>1303</v>
      </c>
      <c r="G594" t="s">
        <v>60</v>
      </c>
      <c r="H594" t="s">
        <v>51</v>
      </c>
      <c r="I594">
        <v>10</v>
      </c>
      <c r="J594" s="24">
        <v>492.17</v>
      </c>
      <c r="K594" s="24">
        <f t="shared" si="18"/>
        <v>4921.7</v>
      </c>
      <c r="L594" s="24">
        <v>6669.23</v>
      </c>
      <c r="M594" s="2">
        <f t="shared" si="19"/>
        <v>1747.5299999999997</v>
      </c>
      <c r="N594" t="str">
        <v>High</v>
      </c>
      <c r="O594" t="s">
        <v>65</v>
      </c>
    </row>
    <row r="595" spans="1:15" x14ac:dyDescent="0.3">
      <c r="A595" t="s">
        <v>633</v>
      </c>
      <c r="B595" s="1">
        <v>45886</v>
      </c>
      <c r="C595" t="s">
        <v>1104</v>
      </c>
      <c r="D595" t="s">
        <v>71</v>
      </c>
      <c r="E595" t="s">
        <v>1248</v>
      </c>
      <c r="F595" t="s">
        <v>1329</v>
      </c>
      <c r="G595" t="s">
        <v>60</v>
      </c>
      <c r="H595" t="s">
        <v>53</v>
      </c>
      <c r="I595">
        <v>1</v>
      </c>
      <c r="J595" s="24">
        <v>401.62</v>
      </c>
      <c r="K595" s="24">
        <f t="shared" si="18"/>
        <v>401.62</v>
      </c>
      <c r="L595" s="24">
        <v>474.36</v>
      </c>
      <c r="M595" s="2">
        <f t="shared" si="19"/>
        <v>72.740000000000009</v>
      </c>
      <c r="N595" t="str">
        <v>Low</v>
      </c>
      <c r="O595" t="s">
        <v>64</v>
      </c>
    </row>
    <row r="596" spans="1:15" x14ac:dyDescent="0.3">
      <c r="A596" t="s">
        <v>634</v>
      </c>
      <c r="B596" s="1">
        <v>45887</v>
      </c>
      <c r="C596" t="s">
        <v>1092</v>
      </c>
      <c r="D596" t="s">
        <v>74</v>
      </c>
      <c r="E596" t="s">
        <v>1249</v>
      </c>
      <c r="F596" t="s">
        <v>1325</v>
      </c>
      <c r="G596" t="s">
        <v>60</v>
      </c>
      <c r="H596" t="s">
        <v>51</v>
      </c>
      <c r="I596">
        <v>5</v>
      </c>
      <c r="J596" s="24">
        <v>296.72000000000003</v>
      </c>
      <c r="K596" s="24">
        <f t="shared" si="18"/>
        <v>1483.6000000000001</v>
      </c>
      <c r="L596" s="24">
        <v>2053.6</v>
      </c>
      <c r="M596" s="2">
        <f t="shared" si="19"/>
        <v>569.99999999999977</v>
      </c>
      <c r="N596" t="str">
        <v>High</v>
      </c>
      <c r="O596" t="s">
        <v>65</v>
      </c>
    </row>
    <row r="597" spans="1:15" x14ac:dyDescent="0.3">
      <c r="A597" t="s">
        <v>635</v>
      </c>
      <c r="B597" s="1">
        <v>45888</v>
      </c>
      <c r="C597" t="s">
        <v>1231</v>
      </c>
      <c r="D597" t="s">
        <v>74</v>
      </c>
      <c r="E597" t="s">
        <v>1249</v>
      </c>
      <c r="F597" t="s">
        <v>1321</v>
      </c>
      <c r="G597" t="s">
        <v>60</v>
      </c>
      <c r="H597" t="s">
        <v>51</v>
      </c>
      <c r="I597">
        <v>1</v>
      </c>
      <c r="J597" s="24">
        <v>35.56</v>
      </c>
      <c r="K597" s="24">
        <f t="shared" si="18"/>
        <v>35.56</v>
      </c>
      <c r="L597" s="24">
        <v>40.03</v>
      </c>
      <c r="M597" s="2">
        <f t="shared" si="19"/>
        <v>4.4699999999999989</v>
      </c>
      <c r="N597" t="str">
        <v>Low</v>
      </c>
      <c r="O597" t="s">
        <v>64</v>
      </c>
    </row>
    <row r="598" spans="1:15" x14ac:dyDescent="0.3">
      <c r="A598" t="s">
        <v>636</v>
      </c>
      <c r="B598" s="1">
        <v>45889</v>
      </c>
      <c r="C598" t="s">
        <v>1223</v>
      </c>
      <c r="D598" t="s">
        <v>71</v>
      </c>
      <c r="E598" t="s">
        <v>1248</v>
      </c>
      <c r="F598" t="s">
        <v>1301</v>
      </c>
      <c r="G598" t="s">
        <v>60</v>
      </c>
      <c r="H598" t="s">
        <v>53</v>
      </c>
      <c r="I598">
        <v>2</v>
      </c>
      <c r="J598" s="24">
        <v>458.45</v>
      </c>
      <c r="K598" s="24">
        <f t="shared" si="18"/>
        <v>916.9</v>
      </c>
      <c r="L598" s="24">
        <v>1167.3900000000001</v>
      </c>
      <c r="M598" s="2">
        <f t="shared" si="19"/>
        <v>250.49000000000012</v>
      </c>
      <c r="N598" t="str">
        <v>Low</v>
      </c>
      <c r="O598" t="s">
        <v>65</v>
      </c>
    </row>
    <row r="599" spans="1:15" x14ac:dyDescent="0.3">
      <c r="A599" t="s">
        <v>637</v>
      </c>
      <c r="B599" s="1">
        <v>45890</v>
      </c>
      <c r="C599" t="s">
        <v>1208</v>
      </c>
      <c r="D599" t="s">
        <v>71</v>
      </c>
      <c r="E599" t="s">
        <v>1251</v>
      </c>
      <c r="F599" t="s">
        <v>1315</v>
      </c>
      <c r="G599" t="s">
        <v>60</v>
      </c>
      <c r="H599" t="s">
        <v>53</v>
      </c>
      <c r="I599">
        <v>10</v>
      </c>
      <c r="J599" s="24">
        <v>496.56</v>
      </c>
      <c r="K599" s="24">
        <f t="shared" si="18"/>
        <v>4965.6000000000004</v>
      </c>
      <c r="L599" s="24">
        <v>7010.34</v>
      </c>
      <c r="M599" s="2">
        <f t="shared" si="19"/>
        <v>2044.7399999999998</v>
      </c>
      <c r="N599" t="str">
        <v>High</v>
      </c>
      <c r="O599" t="s">
        <v>64</v>
      </c>
    </row>
    <row r="600" spans="1:15" x14ac:dyDescent="0.3">
      <c r="A600" t="s">
        <v>638</v>
      </c>
      <c r="B600" s="1">
        <v>45891</v>
      </c>
      <c r="C600" t="s">
        <v>1123</v>
      </c>
      <c r="D600" t="s">
        <v>1255</v>
      </c>
      <c r="E600" t="s">
        <v>59</v>
      </c>
      <c r="F600" t="s">
        <v>1262</v>
      </c>
      <c r="G600" t="s">
        <v>60</v>
      </c>
      <c r="H600" t="s">
        <v>53</v>
      </c>
      <c r="I600">
        <v>1</v>
      </c>
      <c r="J600" s="24">
        <v>424.2</v>
      </c>
      <c r="K600" s="24">
        <f t="shared" si="18"/>
        <v>424.2</v>
      </c>
      <c r="L600" s="24">
        <v>624.08000000000004</v>
      </c>
      <c r="M600" s="2">
        <f t="shared" si="19"/>
        <v>199.88000000000005</v>
      </c>
      <c r="N600" t="str">
        <v>Low</v>
      </c>
      <c r="O600" t="s">
        <v>65</v>
      </c>
    </row>
    <row r="601" spans="1:15" x14ac:dyDescent="0.3">
      <c r="A601" t="s">
        <v>639</v>
      </c>
      <c r="B601" s="1">
        <v>45892</v>
      </c>
      <c r="C601" t="s">
        <v>1092</v>
      </c>
      <c r="D601" t="s">
        <v>71</v>
      </c>
      <c r="E601" t="s">
        <v>1240</v>
      </c>
      <c r="F601" t="s">
        <v>1260</v>
      </c>
      <c r="G601" t="s">
        <v>60</v>
      </c>
      <c r="H601" t="s">
        <v>51</v>
      </c>
      <c r="I601">
        <v>6</v>
      </c>
      <c r="J601" s="24">
        <v>245.23</v>
      </c>
      <c r="K601" s="24">
        <f t="shared" si="18"/>
        <v>1471.3799999999999</v>
      </c>
      <c r="L601" s="24">
        <v>1905.98</v>
      </c>
      <c r="M601" s="2">
        <f t="shared" si="19"/>
        <v>434.60000000000014</v>
      </c>
      <c r="N601" t="str">
        <v>Low</v>
      </c>
      <c r="O601" t="s">
        <v>65</v>
      </c>
    </row>
    <row r="602" spans="1:15" x14ac:dyDescent="0.3">
      <c r="A602" t="s">
        <v>640</v>
      </c>
      <c r="B602" s="1">
        <v>45893</v>
      </c>
      <c r="C602" t="s">
        <v>1056</v>
      </c>
      <c r="D602" t="s">
        <v>72</v>
      </c>
      <c r="E602" t="s">
        <v>1245</v>
      </c>
      <c r="F602" t="s">
        <v>1328</v>
      </c>
      <c r="G602" t="s">
        <v>60</v>
      </c>
      <c r="H602" t="s">
        <v>54</v>
      </c>
      <c r="I602">
        <v>7</v>
      </c>
      <c r="J602" s="24">
        <v>495.71</v>
      </c>
      <c r="K602" s="24">
        <f t="shared" si="18"/>
        <v>3469.97</v>
      </c>
      <c r="L602" s="24">
        <v>4740.16</v>
      </c>
      <c r="M602" s="2">
        <f t="shared" si="19"/>
        <v>1270.19</v>
      </c>
      <c r="N602" t="str">
        <v>High</v>
      </c>
      <c r="O602" t="s">
        <v>64</v>
      </c>
    </row>
    <row r="603" spans="1:15" x14ac:dyDescent="0.3">
      <c r="A603" t="s">
        <v>641</v>
      </c>
      <c r="B603" s="1">
        <v>45894</v>
      </c>
      <c r="C603" t="s">
        <v>1221</v>
      </c>
      <c r="D603" t="s">
        <v>72</v>
      </c>
      <c r="E603" t="s">
        <v>1246</v>
      </c>
      <c r="F603" t="s">
        <v>1293</v>
      </c>
      <c r="G603" t="s">
        <v>60</v>
      </c>
      <c r="H603" t="s">
        <v>51</v>
      </c>
      <c r="I603">
        <v>3</v>
      </c>
      <c r="J603" s="24">
        <v>144.06</v>
      </c>
      <c r="K603" s="24">
        <f t="shared" si="18"/>
        <v>432.18</v>
      </c>
      <c r="L603" s="24">
        <v>480.43</v>
      </c>
      <c r="M603" s="2">
        <f t="shared" si="19"/>
        <v>48.25</v>
      </c>
      <c r="N603" t="str">
        <v>Low</v>
      </c>
      <c r="O603" t="s">
        <v>64</v>
      </c>
    </row>
    <row r="604" spans="1:15" x14ac:dyDescent="0.3">
      <c r="A604" t="s">
        <v>642</v>
      </c>
      <c r="B604" s="1">
        <v>45895</v>
      </c>
      <c r="C604" t="s">
        <v>1076</v>
      </c>
      <c r="D604" t="s">
        <v>1255</v>
      </c>
      <c r="E604" t="s">
        <v>59</v>
      </c>
      <c r="F604" t="s">
        <v>1323</v>
      </c>
      <c r="G604" t="s">
        <v>60</v>
      </c>
      <c r="H604" t="s">
        <v>52</v>
      </c>
      <c r="I604">
        <v>4</v>
      </c>
      <c r="J604" s="24">
        <v>401.77</v>
      </c>
      <c r="K604" s="24">
        <f t="shared" si="18"/>
        <v>1607.08</v>
      </c>
      <c r="L604" s="24">
        <v>1943.43</v>
      </c>
      <c r="M604" s="2">
        <f t="shared" si="19"/>
        <v>336.35000000000014</v>
      </c>
      <c r="N604" t="str">
        <v>Low</v>
      </c>
      <c r="O604" t="s">
        <v>63</v>
      </c>
    </row>
    <row r="605" spans="1:15" x14ac:dyDescent="0.3">
      <c r="A605" t="s">
        <v>643</v>
      </c>
      <c r="B605" s="1">
        <v>45896</v>
      </c>
      <c r="C605" t="s">
        <v>1108</v>
      </c>
      <c r="D605" t="s">
        <v>72</v>
      </c>
      <c r="E605" t="s">
        <v>1246</v>
      </c>
      <c r="F605" t="s">
        <v>1286</v>
      </c>
      <c r="G605" t="s">
        <v>60</v>
      </c>
      <c r="H605" t="s">
        <v>51</v>
      </c>
      <c r="I605">
        <v>3</v>
      </c>
      <c r="J605" s="24">
        <v>68.09</v>
      </c>
      <c r="K605" s="24">
        <f t="shared" si="18"/>
        <v>204.27</v>
      </c>
      <c r="L605" s="24">
        <v>251.12</v>
      </c>
      <c r="M605" s="2">
        <f t="shared" si="19"/>
        <v>46.849999999999994</v>
      </c>
      <c r="N605" t="str">
        <v>Low</v>
      </c>
      <c r="O605" t="s">
        <v>64</v>
      </c>
    </row>
    <row r="606" spans="1:15" x14ac:dyDescent="0.3">
      <c r="A606" t="s">
        <v>644</v>
      </c>
      <c r="B606" s="1">
        <v>45897</v>
      </c>
      <c r="C606" t="s">
        <v>1110</v>
      </c>
      <c r="D606" t="s">
        <v>1255</v>
      </c>
      <c r="E606" t="s">
        <v>59</v>
      </c>
      <c r="F606" t="s">
        <v>1262</v>
      </c>
      <c r="G606" t="s">
        <v>60</v>
      </c>
      <c r="H606" t="s">
        <v>51</v>
      </c>
      <c r="I606">
        <v>7</v>
      </c>
      <c r="J606" s="24">
        <v>422.32</v>
      </c>
      <c r="K606" s="24">
        <f t="shared" si="18"/>
        <v>2956.24</v>
      </c>
      <c r="L606" s="24">
        <v>3915.56</v>
      </c>
      <c r="M606" s="2">
        <f t="shared" si="19"/>
        <v>959.32000000000016</v>
      </c>
      <c r="N606" t="str">
        <v>High</v>
      </c>
      <c r="O606" t="s">
        <v>65</v>
      </c>
    </row>
    <row r="607" spans="1:15" x14ac:dyDescent="0.3">
      <c r="A607" t="s">
        <v>645</v>
      </c>
      <c r="B607" s="1">
        <v>45898</v>
      </c>
      <c r="C607" t="s">
        <v>1073</v>
      </c>
      <c r="D607" t="s">
        <v>71</v>
      </c>
      <c r="E607" t="s">
        <v>1248</v>
      </c>
      <c r="F607" t="s">
        <v>1301</v>
      </c>
      <c r="G607" t="s">
        <v>60</v>
      </c>
      <c r="H607" t="s">
        <v>54</v>
      </c>
      <c r="I607">
        <v>3</v>
      </c>
      <c r="J607" s="24">
        <v>35.69</v>
      </c>
      <c r="K607" s="24">
        <f t="shared" si="18"/>
        <v>107.07</v>
      </c>
      <c r="L607" s="24">
        <v>139.35</v>
      </c>
      <c r="M607" s="2">
        <f t="shared" si="19"/>
        <v>32.28</v>
      </c>
      <c r="N607" t="str">
        <v>Low</v>
      </c>
      <c r="O607" t="s">
        <v>64</v>
      </c>
    </row>
    <row r="608" spans="1:15" x14ac:dyDescent="0.3">
      <c r="A608" t="s">
        <v>646</v>
      </c>
      <c r="B608" s="1">
        <v>45899</v>
      </c>
      <c r="C608" t="s">
        <v>1139</v>
      </c>
      <c r="D608" t="s">
        <v>71</v>
      </c>
      <c r="E608" t="s">
        <v>1248</v>
      </c>
      <c r="F608" t="s">
        <v>1269</v>
      </c>
      <c r="G608" t="s">
        <v>60</v>
      </c>
      <c r="H608" t="s">
        <v>53</v>
      </c>
      <c r="I608">
        <v>3</v>
      </c>
      <c r="J608" s="24">
        <v>401.26</v>
      </c>
      <c r="K608" s="24">
        <f t="shared" si="18"/>
        <v>1203.78</v>
      </c>
      <c r="L608" s="24">
        <v>1360.24</v>
      </c>
      <c r="M608" s="2">
        <f t="shared" si="19"/>
        <v>156.46000000000004</v>
      </c>
      <c r="N608" t="str">
        <v>Low</v>
      </c>
      <c r="O608" t="s">
        <v>65</v>
      </c>
    </row>
    <row r="609" spans="1:15" x14ac:dyDescent="0.3">
      <c r="A609" t="s">
        <v>647</v>
      </c>
      <c r="B609" s="1">
        <v>45900</v>
      </c>
      <c r="C609" t="s">
        <v>1170</v>
      </c>
      <c r="D609" t="s">
        <v>73</v>
      </c>
      <c r="E609" t="s">
        <v>1250</v>
      </c>
      <c r="F609" t="s">
        <v>1284</v>
      </c>
      <c r="G609" t="s">
        <v>60</v>
      </c>
      <c r="H609" t="s">
        <v>53</v>
      </c>
      <c r="I609">
        <v>8</v>
      </c>
      <c r="J609" s="24">
        <v>231.11</v>
      </c>
      <c r="K609" s="24">
        <f t="shared" si="18"/>
        <v>1848.88</v>
      </c>
      <c r="L609" s="24">
        <v>2195.23</v>
      </c>
      <c r="M609" s="2">
        <f t="shared" si="19"/>
        <v>346.34999999999991</v>
      </c>
      <c r="N609" t="str">
        <v>High</v>
      </c>
      <c r="O609" t="s">
        <v>64</v>
      </c>
    </row>
    <row r="610" spans="1:15" x14ac:dyDescent="0.3">
      <c r="A610" t="s">
        <v>648</v>
      </c>
      <c r="B610" s="1">
        <v>45901</v>
      </c>
      <c r="C610" t="s">
        <v>1126</v>
      </c>
      <c r="D610" t="s">
        <v>71</v>
      </c>
      <c r="E610" t="s">
        <v>1254</v>
      </c>
      <c r="F610" t="s">
        <v>1296</v>
      </c>
      <c r="G610" t="s">
        <v>60</v>
      </c>
      <c r="H610" t="s">
        <v>51</v>
      </c>
      <c r="I610">
        <v>7</v>
      </c>
      <c r="J610" s="24">
        <v>399.18</v>
      </c>
      <c r="K610" s="24">
        <f t="shared" si="18"/>
        <v>2794.26</v>
      </c>
      <c r="L610" s="24">
        <v>3164.27</v>
      </c>
      <c r="M610" s="2">
        <f t="shared" si="19"/>
        <v>370.00999999999976</v>
      </c>
      <c r="N610" t="str">
        <v>High</v>
      </c>
      <c r="O610" t="s">
        <v>65</v>
      </c>
    </row>
    <row r="611" spans="1:15" x14ac:dyDescent="0.3">
      <c r="A611" t="s">
        <v>649</v>
      </c>
      <c r="B611" s="1">
        <v>45902</v>
      </c>
      <c r="C611" t="s">
        <v>1232</v>
      </c>
      <c r="D611" t="s">
        <v>73</v>
      </c>
      <c r="E611" t="s">
        <v>1243</v>
      </c>
      <c r="F611" t="s">
        <v>1303</v>
      </c>
      <c r="G611" t="s">
        <v>60</v>
      </c>
      <c r="H611" t="s">
        <v>53</v>
      </c>
      <c r="I611">
        <v>3</v>
      </c>
      <c r="J611" s="24">
        <v>375.94</v>
      </c>
      <c r="K611" s="24">
        <f t="shared" si="18"/>
        <v>1127.82</v>
      </c>
      <c r="L611" s="24">
        <v>1454.45</v>
      </c>
      <c r="M611" s="2">
        <f t="shared" si="19"/>
        <v>326.63000000000011</v>
      </c>
      <c r="N611" t="str">
        <v>Low</v>
      </c>
      <c r="O611" t="s">
        <v>64</v>
      </c>
    </row>
    <row r="612" spans="1:15" x14ac:dyDescent="0.3">
      <c r="A612" t="s">
        <v>650</v>
      </c>
      <c r="B612" s="1">
        <v>45903</v>
      </c>
      <c r="C612" t="s">
        <v>1160</v>
      </c>
      <c r="D612" t="s">
        <v>73</v>
      </c>
      <c r="E612" t="s">
        <v>1243</v>
      </c>
      <c r="F612" t="s">
        <v>1272</v>
      </c>
      <c r="G612" t="s">
        <v>60</v>
      </c>
      <c r="H612" t="s">
        <v>53</v>
      </c>
      <c r="I612">
        <v>8</v>
      </c>
      <c r="J612" s="24">
        <v>86.71</v>
      </c>
      <c r="K612" s="24">
        <f t="shared" si="18"/>
        <v>693.68</v>
      </c>
      <c r="L612" s="24">
        <v>915.92</v>
      </c>
      <c r="M612" s="2">
        <f t="shared" si="19"/>
        <v>222.24</v>
      </c>
      <c r="N612" t="str">
        <v>Low</v>
      </c>
      <c r="O612" t="s">
        <v>64</v>
      </c>
    </row>
    <row r="613" spans="1:15" x14ac:dyDescent="0.3">
      <c r="A613" t="s">
        <v>651</v>
      </c>
      <c r="B613" s="1">
        <v>45904</v>
      </c>
      <c r="C613" t="s">
        <v>1079</v>
      </c>
      <c r="D613" t="s">
        <v>71</v>
      </c>
      <c r="E613" t="s">
        <v>1240</v>
      </c>
      <c r="F613" t="s">
        <v>1273</v>
      </c>
      <c r="G613" t="s">
        <v>60</v>
      </c>
      <c r="H613" t="s">
        <v>52</v>
      </c>
      <c r="I613">
        <v>9</v>
      </c>
      <c r="J613" s="24">
        <v>490.06</v>
      </c>
      <c r="K613" s="24">
        <f t="shared" si="18"/>
        <v>4410.54</v>
      </c>
      <c r="L613" s="24">
        <v>5938.49</v>
      </c>
      <c r="M613" s="2">
        <f t="shared" si="19"/>
        <v>1527.9499999999998</v>
      </c>
      <c r="N613" t="str">
        <v>High</v>
      </c>
      <c r="O613" t="s">
        <v>63</v>
      </c>
    </row>
    <row r="614" spans="1:15" x14ac:dyDescent="0.3">
      <c r="A614" t="s">
        <v>652</v>
      </c>
      <c r="B614" s="1">
        <v>45905</v>
      </c>
      <c r="C614" t="s">
        <v>1227</v>
      </c>
      <c r="D614" t="s">
        <v>74</v>
      </c>
      <c r="E614" t="s">
        <v>1249</v>
      </c>
      <c r="F614" t="s">
        <v>1308</v>
      </c>
      <c r="G614" t="s">
        <v>60</v>
      </c>
      <c r="H614" t="s">
        <v>53</v>
      </c>
      <c r="I614">
        <v>9</v>
      </c>
      <c r="J614" s="24">
        <v>314.14999999999998</v>
      </c>
      <c r="K614" s="24">
        <f t="shared" si="18"/>
        <v>2827.35</v>
      </c>
      <c r="L614" s="24">
        <v>3521.11</v>
      </c>
      <c r="M614" s="2">
        <f t="shared" si="19"/>
        <v>693.76000000000022</v>
      </c>
      <c r="N614" t="str">
        <v>High</v>
      </c>
      <c r="O614" t="s">
        <v>63</v>
      </c>
    </row>
    <row r="615" spans="1:15" x14ac:dyDescent="0.3">
      <c r="A615" t="s">
        <v>653</v>
      </c>
      <c r="B615" s="1">
        <v>45906</v>
      </c>
      <c r="C615" t="s">
        <v>1100</v>
      </c>
      <c r="D615" t="s">
        <v>73</v>
      </c>
      <c r="E615" t="s">
        <v>1252</v>
      </c>
      <c r="F615" t="s">
        <v>1317</v>
      </c>
      <c r="G615" t="s">
        <v>60</v>
      </c>
      <c r="H615" t="s">
        <v>51</v>
      </c>
      <c r="I615">
        <v>9</v>
      </c>
      <c r="J615" s="24">
        <v>310.62</v>
      </c>
      <c r="K615" s="24">
        <f t="shared" si="18"/>
        <v>2795.58</v>
      </c>
      <c r="L615" s="24">
        <v>3515.33</v>
      </c>
      <c r="M615" s="2">
        <f t="shared" si="19"/>
        <v>719.75</v>
      </c>
      <c r="N615" t="str">
        <v>High</v>
      </c>
      <c r="O615" t="s">
        <v>64</v>
      </c>
    </row>
    <row r="616" spans="1:15" x14ac:dyDescent="0.3">
      <c r="A616" t="s">
        <v>654</v>
      </c>
      <c r="B616" s="1">
        <v>45907</v>
      </c>
      <c r="C616" t="s">
        <v>1199</v>
      </c>
      <c r="D616" t="s">
        <v>71</v>
      </c>
      <c r="E616" t="s">
        <v>1248</v>
      </c>
      <c r="F616" t="s">
        <v>1271</v>
      </c>
      <c r="G616" t="s">
        <v>60</v>
      </c>
      <c r="H616" t="s">
        <v>52</v>
      </c>
      <c r="I616">
        <v>7</v>
      </c>
      <c r="J616" s="24">
        <v>389.73</v>
      </c>
      <c r="K616" s="24">
        <f t="shared" si="18"/>
        <v>2728.11</v>
      </c>
      <c r="L616" s="24">
        <v>3642.6</v>
      </c>
      <c r="M616" s="2">
        <f t="shared" si="19"/>
        <v>914.48999999999978</v>
      </c>
      <c r="N616" t="str">
        <v>High</v>
      </c>
      <c r="O616" t="s">
        <v>63</v>
      </c>
    </row>
    <row r="617" spans="1:15" x14ac:dyDescent="0.3">
      <c r="A617" t="s">
        <v>655</v>
      </c>
      <c r="B617" s="1">
        <v>45908</v>
      </c>
      <c r="C617" t="s">
        <v>1159</v>
      </c>
      <c r="D617" t="s">
        <v>1255</v>
      </c>
      <c r="E617" t="s">
        <v>59</v>
      </c>
      <c r="F617" t="s">
        <v>1323</v>
      </c>
      <c r="G617" t="s">
        <v>60</v>
      </c>
      <c r="H617" t="s">
        <v>54</v>
      </c>
      <c r="I617">
        <v>10</v>
      </c>
      <c r="J617" s="24">
        <v>191.38</v>
      </c>
      <c r="K617" s="24">
        <f t="shared" si="18"/>
        <v>1913.8</v>
      </c>
      <c r="L617" s="24">
        <v>2225.34</v>
      </c>
      <c r="M617" s="2">
        <f t="shared" si="19"/>
        <v>311.54000000000019</v>
      </c>
      <c r="N617" t="str">
        <v>High</v>
      </c>
      <c r="O617" t="s">
        <v>64</v>
      </c>
    </row>
    <row r="618" spans="1:15" x14ac:dyDescent="0.3">
      <c r="A618" t="s">
        <v>656</v>
      </c>
      <c r="B618" s="1">
        <v>45909</v>
      </c>
      <c r="C618" t="s">
        <v>1114</v>
      </c>
      <c r="D618" t="s">
        <v>1255</v>
      </c>
      <c r="E618" t="s">
        <v>59</v>
      </c>
      <c r="F618" t="s">
        <v>1262</v>
      </c>
      <c r="G618" t="s">
        <v>60</v>
      </c>
      <c r="H618" t="s">
        <v>52</v>
      </c>
      <c r="I618">
        <v>2</v>
      </c>
      <c r="J618" s="24">
        <v>70.06</v>
      </c>
      <c r="K618" s="24">
        <f t="shared" si="18"/>
        <v>140.12</v>
      </c>
      <c r="L618" s="24">
        <v>156.16</v>
      </c>
      <c r="M618" s="2">
        <f t="shared" si="19"/>
        <v>16.039999999999992</v>
      </c>
      <c r="N618" t="str">
        <v>Low</v>
      </c>
      <c r="O618" t="s">
        <v>64</v>
      </c>
    </row>
    <row r="619" spans="1:15" x14ac:dyDescent="0.3">
      <c r="A619" t="s">
        <v>657</v>
      </c>
      <c r="B619" s="1">
        <v>45910</v>
      </c>
      <c r="C619" t="s">
        <v>1087</v>
      </c>
      <c r="D619" t="s">
        <v>71</v>
      </c>
      <c r="E619" t="s">
        <v>1251</v>
      </c>
      <c r="F619" t="s">
        <v>1276</v>
      </c>
      <c r="G619" t="s">
        <v>60</v>
      </c>
      <c r="H619" t="s">
        <v>54</v>
      </c>
      <c r="I619">
        <v>7</v>
      </c>
      <c r="J619" s="24">
        <v>390.76</v>
      </c>
      <c r="K619" s="24">
        <f t="shared" si="18"/>
        <v>2735.3199999999997</v>
      </c>
      <c r="L619" s="24">
        <v>3345.27</v>
      </c>
      <c r="M619" s="2">
        <f t="shared" si="19"/>
        <v>609.95000000000027</v>
      </c>
      <c r="N619" t="str">
        <v>High</v>
      </c>
      <c r="O619" t="s">
        <v>64</v>
      </c>
    </row>
    <row r="620" spans="1:15" x14ac:dyDescent="0.3">
      <c r="A620" t="s">
        <v>658</v>
      </c>
      <c r="B620" s="1">
        <v>45911</v>
      </c>
      <c r="C620" t="s">
        <v>1215</v>
      </c>
      <c r="D620" t="s">
        <v>71</v>
      </c>
      <c r="E620" t="s">
        <v>1251</v>
      </c>
      <c r="F620" t="s">
        <v>1326</v>
      </c>
      <c r="G620" t="s">
        <v>60</v>
      </c>
      <c r="H620" t="s">
        <v>52</v>
      </c>
      <c r="I620">
        <v>9</v>
      </c>
      <c r="J620" s="24">
        <v>267.57</v>
      </c>
      <c r="K620" s="24">
        <f t="shared" si="18"/>
        <v>2408.13</v>
      </c>
      <c r="L620" s="24">
        <v>3049.49</v>
      </c>
      <c r="M620" s="2">
        <f t="shared" si="19"/>
        <v>641.35999999999967</v>
      </c>
      <c r="N620" t="str">
        <v>High</v>
      </c>
      <c r="O620" t="s">
        <v>63</v>
      </c>
    </row>
    <row r="621" spans="1:15" x14ac:dyDescent="0.3">
      <c r="A621" t="s">
        <v>659</v>
      </c>
      <c r="B621" s="1">
        <v>45912</v>
      </c>
      <c r="C621" t="s">
        <v>1209</v>
      </c>
      <c r="D621" t="s">
        <v>71</v>
      </c>
      <c r="E621" t="s">
        <v>1240</v>
      </c>
      <c r="F621" t="s">
        <v>1260</v>
      </c>
      <c r="G621" t="s">
        <v>60</v>
      </c>
      <c r="H621" t="s">
        <v>51</v>
      </c>
      <c r="I621">
        <v>6</v>
      </c>
      <c r="J621" s="24">
        <v>280.73</v>
      </c>
      <c r="K621" s="24">
        <f t="shared" si="18"/>
        <v>1684.38</v>
      </c>
      <c r="L621" s="24">
        <v>2247.92</v>
      </c>
      <c r="M621" s="2">
        <f t="shared" si="19"/>
        <v>563.54</v>
      </c>
      <c r="N621" t="str">
        <v>High</v>
      </c>
      <c r="O621" t="s">
        <v>65</v>
      </c>
    </row>
    <row r="622" spans="1:15" x14ac:dyDescent="0.3">
      <c r="A622" t="s">
        <v>660</v>
      </c>
      <c r="B622" s="1">
        <v>45913</v>
      </c>
      <c r="C622" t="s">
        <v>1092</v>
      </c>
      <c r="D622" t="s">
        <v>72</v>
      </c>
      <c r="E622" t="s">
        <v>1245</v>
      </c>
      <c r="F622" t="s">
        <v>1263</v>
      </c>
      <c r="G622" t="s">
        <v>60</v>
      </c>
      <c r="H622" t="s">
        <v>52</v>
      </c>
      <c r="I622">
        <v>7</v>
      </c>
      <c r="J622" s="24">
        <v>180.08</v>
      </c>
      <c r="K622" s="24">
        <f t="shared" si="18"/>
        <v>1260.5600000000002</v>
      </c>
      <c r="L622" s="24">
        <v>1407.97</v>
      </c>
      <c r="M622" s="2">
        <f t="shared" si="19"/>
        <v>147.40999999999985</v>
      </c>
      <c r="N622" t="str">
        <v>Low</v>
      </c>
      <c r="O622" t="s">
        <v>63</v>
      </c>
    </row>
    <row r="623" spans="1:15" x14ac:dyDescent="0.3">
      <c r="A623" t="s">
        <v>661</v>
      </c>
      <c r="B623" s="1">
        <v>45914</v>
      </c>
      <c r="C623" t="s">
        <v>1210</v>
      </c>
      <c r="D623" t="s">
        <v>71</v>
      </c>
      <c r="E623" t="s">
        <v>1254</v>
      </c>
      <c r="F623" t="s">
        <v>1307</v>
      </c>
      <c r="G623" t="s">
        <v>60</v>
      </c>
      <c r="H623" t="s">
        <v>51</v>
      </c>
      <c r="I623">
        <v>1</v>
      </c>
      <c r="J623" s="24">
        <v>347.17</v>
      </c>
      <c r="K623" s="24">
        <f t="shared" si="18"/>
        <v>347.17</v>
      </c>
      <c r="L623" s="24">
        <v>399.77</v>
      </c>
      <c r="M623" s="2">
        <f t="shared" si="19"/>
        <v>52.599999999999966</v>
      </c>
      <c r="N623" t="str">
        <v>Low</v>
      </c>
      <c r="O623" t="s">
        <v>64</v>
      </c>
    </row>
    <row r="624" spans="1:15" x14ac:dyDescent="0.3">
      <c r="A624" t="s">
        <v>662</v>
      </c>
      <c r="B624" s="1">
        <v>45915</v>
      </c>
      <c r="C624" t="s">
        <v>1233</v>
      </c>
      <c r="D624" t="s">
        <v>71</v>
      </c>
      <c r="E624" t="s">
        <v>1240</v>
      </c>
      <c r="F624" t="s">
        <v>1273</v>
      </c>
      <c r="G624" t="s">
        <v>60</v>
      </c>
      <c r="H624" t="s">
        <v>54</v>
      </c>
      <c r="I624">
        <v>6</v>
      </c>
      <c r="J624" s="24">
        <v>162.09</v>
      </c>
      <c r="K624" s="24">
        <f t="shared" si="18"/>
        <v>972.54</v>
      </c>
      <c r="L624" s="24">
        <v>1330.32</v>
      </c>
      <c r="M624" s="2">
        <f t="shared" si="19"/>
        <v>357.78</v>
      </c>
      <c r="N624" t="str">
        <v>Low</v>
      </c>
      <c r="O624" t="s">
        <v>64</v>
      </c>
    </row>
    <row r="625" spans="1:15" x14ac:dyDescent="0.3">
      <c r="A625" t="s">
        <v>663</v>
      </c>
      <c r="B625" s="1">
        <v>45916</v>
      </c>
      <c r="C625" t="s">
        <v>1150</v>
      </c>
      <c r="D625" t="s">
        <v>73</v>
      </c>
      <c r="E625" t="s">
        <v>1250</v>
      </c>
      <c r="F625" t="s">
        <v>1319</v>
      </c>
      <c r="G625" t="s">
        <v>60</v>
      </c>
      <c r="H625" t="s">
        <v>53</v>
      </c>
      <c r="I625">
        <v>6</v>
      </c>
      <c r="J625" s="24">
        <v>472.26</v>
      </c>
      <c r="K625" s="24">
        <f t="shared" si="18"/>
        <v>2833.56</v>
      </c>
      <c r="L625" s="24">
        <v>3548.1</v>
      </c>
      <c r="M625" s="2">
        <f t="shared" si="19"/>
        <v>714.54</v>
      </c>
      <c r="N625" t="str">
        <v>High</v>
      </c>
      <c r="O625" t="s">
        <v>65</v>
      </c>
    </row>
    <row r="626" spans="1:15" x14ac:dyDescent="0.3">
      <c r="A626" t="s">
        <v>664</v>
      </c>
      <c r="B626" s="1">
        <v>45917</v>
      </c>
      <c r="C626" t="s">
        <v>1066</v>
      </c>
      <c r="D626" t="s">
        <v>71</v>
      </c>
      <c r="E626" t="s">
        <v>1241</v>
      </c>
      <c r="F626" t="s">
        <v>1287</v>
      </c>
      <c r="G626" t="s">
        <v>60</v>
      </c>
      <c r="H626" t="s">
        <v>53</v>
      </c>
      <c r="I626">
        <v>5</v>
      </c>
      <c r="J626" s="24">
        <v>225.09</v>
      </c>
      <c r="K626" s="24">
        <f t="shared" si="18"/>
        <v>1125.45</v>
      </c>
      <c r="L626" s="24">
        <v>1380.77</v>
      </c>
      <c r="M626" s="2">
        <f t="shared" si="19"/>
        <v>255.31999999999994</v>
      </c>
      <c r="N626" t="str">
        <v>Low</v>
      </c>
      <c r="O626" t="s">
        <v>63</v>
      </c>
    </row>
    <row r="627" spans="1:15" x14ac:dyDescent="0.3">
      <c r="A627" t="s">
        <v>665</v>
      </c>
      <c r="B627" s="1">
        <v>45918</v>
      </c>
      <c r="C627" t="s">
        <v>1131</v>
      </c>
      <c r="D627" t="s">
        <v>72</v>
      </c>
      <c r="E627" t="s">
        <v>1242</v>
      </c>
      <c r="F627" t="s">
        <v>1332</v>
      </c>
      <c r="G627" t="s">
        <v>60</v>
      </c>
      <c r="H627" t="s">
        <v>52</v>
      </c>
      <c r="I627">
        <v>4</v>
      </c>
      <c r="J627" s="24">
        <v>65.2</v>
      </c>
      <c r="K627" s="24">
        <f t="shared" si="18"/>
        <v>260.8</v>
      </c>
      <c r="L627" s="24">
        <v>329.34</v>
      </c>
      <c r="M627" s="2">
        <f t="shared" si="19"/>
        <v>68.539999999999964</v>
      </c>
      <c r="N627" t="str">
        <v>Low</v>
      </c>
      <c r="O627" t="s">
        <v>65</v>
      </c>
    </row>
    <row r="628" spans="1:15" x14ac:dyDescent="0.3">
      <c r="A628" t="s">
        <v>666</v>
      </c>
      <c r="B628" s="1">
        <v>45919</v>
      </c>
      <c r="C628" t="s">
        <v>1234</v>
      </c>
      <c r="D628" t="s">
        <v>74</v>
      </c>
      <c r="E628" t="s">
        <v>1244</v>
      </c>
      <c r="F628" t="s">
        <v>1264</v>
      </c>
      <c r="G628" t="s">
        <v>60</v>
      </c>
      <c r="H628" t="s">
        <v>51</v>
      </c>
      <c r="I628">
        <v>7</v>
      </c>
      <c r="J628" s="24">
        <v>228.01</v>
      </c>
      <c r="K628" s="24">
        <f t="shared" si="18"/>
        <v>1596.07</v>
      </c>
      <c r="L628" s="24">
        <v>2188.48</v>
      </c>
      <c r="M628" s="2">
        <f t="shared" si="19"/>
        <v>592.41000000000008</v>
      </c>
      <c r="N628" t="str">
        <v>High</v>
      </c>
      <c r="O628" t="s">
        <v>65</v>
      </c>
    </row>
    <row r="629" spans="1:15" x14ac:dyDescent="0.3">
      <c r="A629" t="s">
        <v>667</v>
      </c>
      <c r="B629" s="1">
        <v>45920</v>
      </c>
      <c r="C629" t="s">
        <v>1171</v>
      </c>
      <c r="D629" t="s">
        <v>71</v>
      </c>
      <c r="E629" t="s">
        <v>1241</v>
      </c>
      <c r="F629" t="s">
        <v>56</v>
      </c>
      <c r="G629" t="s">
        <v>60</v>
      </c>
      <c r="H629" t="s">
        <v>52</v>
      </c>
      <c r="I629">
        <v>6</v>
      </c>
      <c r="J629" s="24">
        <v>376.83</v>
      </c>
      <c r="K629" s="24">
        <f t="shared" si="18"/>
        <v>2260.98</v>
      </c>
      <c r="L629" s="24">
        <v>2926.21</v>
      </c>
      <c r="M629" s="2">
        <f t="shared" si="19"/>
        <v>665.23</v>
      </c>
      <c r="N629" t="str">
        <v>High</v>
      </c>
      <c r="O629" t="s">
        <v>64</v>
      </c>
    </row>
    <row r="630" spans="1:15" x14ac:dyDescent="0.3">
      <c r="A630" t="s">
        <v>668</v>
      </c>
      <c r="B630" s="1">
        <v>45921</v>
      </c>
      <c r="C630" t="s">
        <v>1080</v>
      </c>
      <c r="D630" t="s">
        <v>74</v>
      </c>
      <c r="E630" t="s">
        <v>1247</v>
      </c>
      <c r="F630" t="s">
        <v>1283</v>
      </c>
      <c r="G630" t="s">
        <v>60</v>
      </c>
      <c r="H630" t="s">
        <v>53</v>
      </c>
      <c r="I630">
        <v>8</v>
      </c>
      <c r="J630" s="24">
        <v>419.71</v>
      </c>
      <c r="K630" s="24">
        <f t="shared" si="18"/>
        <v>3357.68</v>
      </c>
      <c r="L630" s="24">
        <v>4076.05</v>
      </c>
      <c r="M630" s="2">
        <f t="shared" si="19"/>
        <v>718.37000000000035</v>
      </c>
      <c r="N630" t="str">
        <v>High</v>
      </c>
      <c r="O630" t="s">
        <v>64</v>
      </c>
    </row>
    <row r="631" spans="1:15" x14ac:dyDescent="0.3">
      <c r="A631" t="s">
        <v>669</v>
      </c>
      <c r="B631" s="1">
        <v>45922</v>
      </c>
      <c r="C631" t="s">
        <v>1113</v>
      </c>
      <c r="D631" t="s">
        <v>71</v>
      </c>
      <c r="E631" t="s">
        <v>1251</v>
      </c>
      <c r="F631" t="s">
        <v>1326</v>
      </c>
      <c r="G631" t="s">
        <v>60</v>
      </c>
      <c r="H631" t="s">
        <v>52</v>
      </c>
      <c r="I631">
        <v>7</v>
      </c>
      <c r="J631" s="24">
        <v>384.09</v>
      </c>
      <c r="K631" s="24">
        <f t="shared" si="18"/>
        <v>2688.6299999999997</v>
      </c>
      <c r="L631" s="24">
        <v>3318.99</v>
      </c>
      <c r="M631" s="2">
        <f t="shared" si="19"/>
        <v>630.36000000000013</v>
      </c>
      <c r="N631" t="str">
        <v>High</v>
      </c>
      <c r="O631" t="s">
        <v>65</v>
      </c>
    </row>
    <row r="632" spans="1:15" x14ac:dyDescent="0.3">
      <c r="A632" t="s">
        <v>670</v>
      </c>
      <c r="B632" s="1">
        <v>45923</v>
      </c>
      <c r="C632" t="s">
        <v>1228</v>
      </c>
      <c r="D632" t="s">
        <v>73</v>
      </c>
      <c r="E632" t="s">
        <v>1250</v>
      </c>
      <c r="F632" t="s">
        <v>1319</v>
      </c>
      <c r="G632" t="s">
        <v>60</v>
      </c>
      <c r="H632" t="s">
        <v>53</v>
      </c>
      <c r="I632">
        <v>10</v>
      </c>
      <c r="J632" s="24">
        <v>492.84</v>
      </c>
      <c r="K632" s="24">
        <f t="shared" si="18"/>
        <v>4928.3999999999996</v>
      </c>
      <c r="L632" s="24">
        <v>6339.89</v>
      </c>
      <c r="M632" s="2">
        <f t="shared" si="19"/>
        <v>1411.4900000000007</v>
      </c>
      <c r="N632" t="str">
        <v>High</v>
      </c>
      <c r="O632" t="s">
        <v>65</v>
      </c>
    </row>
    <row r="633" spans="1:15" x14ac:dyDescent="0.3">
      <c r="A633" t="s">
        <v>671</v>
      </c>
      <c r="B633" s="1">
        <v>45924</v>
      </c>
      <c r="C633" t="s">
        <v>1207</v>
      </c>
      <c r="D633" t="s">
        <v>74</v>
      </c>
      <c r="E633" t="s">
        <v>1247</v>
      </c>
      <c r="F633" t="s">
        <v>1327</v>
      </c>
      <c r="G633" t="s">
        <v>60</v>
      </c>
      <c r="H633" t="s">
        <v>54</v>
      </c>
      <c r="I633">
        <v>6</v>
      </c>
      <c r="J633" s="24">
        <v>470.34</v>
      </c>
      <c r="K633" s="24">
        <f t="shared" si="18"/>
        <v>2822.04</v>
      </c>
      <c r="L633" s="24">
        <v>3874.53</v>
      </c>
      <c r="M633" s="2">
        <f t="shared" si="19"/>
        <v>1052.4900000000002</v>
      </c>
      <c r="N633" t="str">
        <v>High</v>
      </c>
      <c r="O633" t="s">
        <v>65</v>
      </c>
    </row>
    <row r="634" spans="1:15" x14ac:dyDescent="0.3">
      <c r="A634" t="s">
        <v>672</v>
      </c>
      <c r="B634" s="1">
        <v>45925</v>
      </c>
      <c r="C634" t="s">
        <v>1069</v>
      </c>
      <c r="D634" t="s">
        <v>72</v>
      </c>
      <c r="E634" t="s">
        <v>1253</v>
      </c>
      <c r="F634" t="s">
        <v>1313</v>
      </c>
      <c r="G634" t="s">
        <v>60</v>
      </c>
      <c r="H634" t="s">
        <v>51</v>
      </c>
      <c r="I634">
        <v>3</v>
      </c>
      <c r="J634" s="24">
        <v>59.63</v>
      </c>
      <c r="K634" s="24">
        <f t="shared" si="18"/>
        <v>178.89000000000001</v>
      </c>
      <c r="L634" s="24">
        <v>205.87</v>
      </c>
      <c r="M634" s="2">
        <f t="shared" si="19"/>
        <v>26.97999999999999</v>
      </c>
      <c r="N634" t="str">
        <v>Low</v>
      </c>
      <c r="O634" t="s">
        <v>65</v>
      </c>
    </row>
    <row r="635" spans="1:15" x14ac:dyDescent="0.3">
      <c r="A635" t="s">
        <v>673</v>
      </c>
      <c r="B635" s="1">
        <v>45926</v>
      </c>
      <c r="C635" t="s">
        <v>1213</v>
      </c>
      <c r="D635" t="s">
        <v>74</v>
      </c>
      <c r="E635" t="s">
        <v>1249</v>
      </c>
      <c r="F635" t="s">
        <v>1325</v>
      </c>
      <c r="G635" t="s">
        <v>60</v>
      </c>
      <c r="H635" t="s">
        <v>53</v>
      </c>
      <c r="I635">
        <v>6</v>
      </c>
      <c r="J635" s="24">
        <v>263.02999999999997</v>
      </c>
      <c r="K635" s="24">
        <f t="shared" si="18"/>
        <v>1578.1799999999998</v>
      </c>
      <c r="L635" s="24">
        <v>2093.56</v>
      </c>
      <c r="M635" s="2">
        <f t="shared" si="19"/>
        <v>515.38000000000011</v>
      </c>
      <c r="N635" t="str">
        <v>High</v>
      </c>
      <c r="O635" t="s">
        <v>65</v>
      </c>
    </row>
    <row r="636" spans="1:15" x14ac:dyDescent="0.3">
      <c r="A636" t="s">
        <v>674</v>
      </c>
      <c r="B636" s="1">
        <v>45927</v>
      </c>
      <c r="C636" t="s">
        <v>1080</v>
      </c>
      <c r="D636" t="s">
        <v>73</v>
      </c>
      <c r="E636" t="s">
        <v>1243</v>
      </c>
      <c r="F636" t="s">
        <v>1261</v>
      </c>
      <c r="G636" t="s">
        <v>60</v>
      </c>
      <c r="H636" t="s">
        <v>53</v>
      </c>
      <c r="I636">
        <v>3</v>
      </c>
      <c r="J636" s="24">
        <v>490.41</v>
      </c>
      <c r="K636" s="24">
        <f t="shared" si="18"/>
        <v>1471.23</v>
      </c>
      <c r="L636" s="24">
        <v>1720.58</v>
      </c>
      <c r="M636" s="2">
        <f t="shared" si="19"/>
        <v>249.34999999999991</v>
      </c>
      <c r="N636" t="str">
        <v>Low</v>
      </c>
      <c r="O636" t="s">
        <v>64</v>
      </c>
    </row>
    <row r="637" spans="1:15" x14ac:dyDescent="0.3">
      <c r="A637" t="s">
        <v>675</v>
      </c>
      <c r="B637" s="1">
        <v>45928</v>
      </c>
      <c r="C637" t="s">
        <v>1075</v>
      </c>
      <c r="D637" t="s">
        <v>72</v>
      </c>
      <c r="E637" t="s">
        <v>1245</v>
      </c>
      <c r="F637" t="s">
        <v>1328</v>
      </c>
      <c r="G637" t="s">
        <v>60</v>
      </c>
      <c r="H637" t="s">
        <v>51</v>
      </c>
      <c r="I637">
        <v>5</v>
      </c>
      <c r="J637" s="24">
        <v>85.12</v>
      </c>
      <c r="K637" s="24">
        <f t="shared" si="18"/>
        <v>425.6</v>
      </c>
      <c r="L637" s="24">
        <v>545.91999999999996</v>
      </c>
      <c r="M637" s="2">
        <f t="shared" si="19"/>
        <v>120.31999999999994</v>
      </c>
      <c r="N637" t="str">
        <v>Low</v>
      </c>
      <c r="O637" t="s">
        <v>65</v>
      </c>
    </row>
    <row r="638" spans="1:15" x14ac:dyDescent="0.3">
      <c r="A638" t="s">
        <v>676</v>
      </c>
      <c r="B638" s="1">
        <v>45929</v>
      </c>
      <c r="C638" t="s">
        <v>1048</v>
      </c>
      <c r="D638" t="s">
        <v>1255</v>
      </c>
      <c r="E638" t="s">
        <v>59</v>
      </c>
      <c r="F638" t="s">
        <v>1310</v>
      </c>
      <c r="G638" t="s">
        <v>60</v>
      </c>
      <c r="H638" t="s">
        <v>53</v>
      </c>
      <c r="I638">
        <v>4</v>
      </c>
      <c r="J638" s="24">
        <v>60.21</v>
      </c>
      <c r="K638" s="24">
        <f t="shared" si="18"/>
        <v>240.84</v>
      </c>
      <c r="L638" s="24">
        <v>308.66000000000003</v>
      </c>
      <c r="M638" s="2">
        <f t="shared" si="19"/>
        <v>67.820000000000022</v>
      </c>
      <c r="N638" t="str">
        <v>Low</v>
      </c>
      <c r="O638" t="s">
        <v>64</v>
      </c>
    </row>
    <row r="639" spans="1:15" x14ac:dyDescent="0.3">
      <c r="A639" t="s">
        <v>677</v>
      </c>
      <c r="B639" s="1">
        <v>45930</v>
      </c>
      <c r="C639" t="s">
        <v>1154</v>
      </c>
      <c r="D639" t="s">
        <v>71</v>
      </c>
      <c r="E639" t="s">
        <v>1248</v>
      </c>
      <c r="F639" t="s">
        <v>1291</v>
      </c>
      <c r="G639" t="s">
        <v>60</v>
      </c>
      <c r="H639" t="s">
        <v>54</v>
      </c>
      <c r="I639">
        <v>10</v>
      </c>
      <c r="J639" s="24">
        <v>338.8</v>
      </c>
      <c r="K639" s="24">
        <f t="shared" si="18"/>
        <v>3388</v>
      </c>
      <c r="L639" s="24">
        <v>4654.82</v>
      </c>
      <c r="M639" s="2">
        <f t="shared" si="19"/>
        <v>1266.8199999999997</v>
      </c>
      <c r="N639" t="str">
        <v>High</v>
      </c>
      <c r="O639" t="s">
        <v>64</v>
      </c>
    </row>
    <row r="640" spans="1:15" x14ac:dyDescent="0.3">
      <c r="A640" t="s">
        <v>678</v>
      </c>
      <c r="B640" s="1">
        <v>45931</v>
      </c>
      <c r="C640" t="s">
        <v>1051</v>
      </c>
      <c r="D640" t="s">
        <v>73</v>
      </c>
      <c r="E640" t="s">
        <v>1250</v>
      </c>
      <c r="F640" t="s">
        <v>1302</v>
      </c>
      <c r="G640" t="s">
        <v>60</v>
      </c>
      <c r="H640" t="s">
        <v>53</v>
      </c>
      <c r="I640">
        <v>8</v>
      </c>
      <c r="J640" s="24">
        <v>63.35</v>
      </c>
      <c r="K640" s="24">
        <f t="shared" si="18"/>
        <v>506.8</v>
      </c>
      <c r="L640" s="24">
        <v>689.92</v>
      </c>
      <c r="M640" s="2">
        <f t="shared" si="19"/>
        <v>183.11999999999995</v>
      </c>
      <c r="N640" t="str">
        <v>Low</v>
      </c>
      <c r="O640" t="s">
        <v>64</v>
      </c>
    </row>
    <row r="641" spans="1:15" x14ac:dyDescent="0.3">
      <c r="A641" t="s">
        <v>679</v>
      </c>
      <c r="B641" s="1">
        <v>45932</v>
      </c>
      <c r="C641" t="s">
        <v>1181</v>
      </c>
      <c r="D641" t="s">
        <v>71</v>
      </c>
      <c r="E641" t="s">
        <v>1248</v>
      </c>
      <c r="F641" t="s">
        <v>1329</v>
      </c>
      <c r="G641" t="s">
        <v>60</v>
      </c>
      <c r="H641" t="s">
        <v>54</v>
      </c>
      <c r="I641">
        <v>5</v>
      </c>
      <c r="J641" s="24">
        <v>307.10000000000002</v>
      </c>
      <c r="K641" s="24">
        <f t="shared" si="18"/>
        <v>1535.5</v>
      </c>
      <c r="L641" s="24">
        <v>1855.32</v>
      </c>
      <c r="M641" s="2">
        <f t="shared" si="19"/>
        <v>319.81999999999994</v>
      </c>
      <c r="N641" t="str">
        <v>Low</v>
      </c>
      <c r="O641" t="s">
        <v>64</v>
      </c>
    </row>
    <row r="642" spans="1:15" x14ac:dyDescent="0.3">
      <c r="A642" t="s">
        <v>680</v>
      </c>
      <c r="B642" s="1">
        <v>45933</v>
      </c>
      <c r="C642" t="s">
        <v>1199</v>
      </c>
      <c r="D642" t="s">
        <v>73</v>
      </c>
      <c r="E642" t="s">
        <v>1243</v>
      </c>
      <c r="F642" t="s">
        <v>1303</v>
      </c>
      <c r="G642" t="s">
        <v>60</v>
      </c>
      <c r="H642" t="s">
        <v>53</v>
      </c>
      <c r="I642">
        <v>8</v>
      </c>
      <c r="J642" s="24">
        <v>305.93</v>
      </c>
      <c r="K642" s="24">
        <f t="shared" si="18"/>
        <v>2447.44</v>
      </c>
      <c r="L642" s="24">
        <v>3338.76</v>
      </c>
      <c r="M642" s="2">
        <f t="shared" si="19"/>
        <v>891.32000000000016</v>
      </c>
      <c r="N642" t="str">
        <v>High</v>
      </c>
      <c r="O642" t="s">
        <v>63</v>
      </c>
    </row>
    <row r="643" spans="1:15" x14ac:dyDescent="0.3">
      <c r="A643" t="s">
        <v>681</v>
      </c>
      <c r="B643" s="1">
        <v>45934</v>
      </c>
      <c r="C643" t="s">
        <v>1235</v>
      </c>
      <c r="D643" t="s">
        <v>74</v>
      </c>
      <c r="E643" t="s">
        <v>1249</v>
      </c>
      <c r="F643" t="s">
        <v>1270</v>
      </c>
      <c r="G643" t="s">
        <v>60</v>
      </c>
      <c r="H643" t="s">
        <v>54</v>
      </c>
      <c r="I643">
        <v>8</v>
      </c>
      <c r="J643" s="24">
        <v>327.3</v>
      </c>
      <c r="K643" s="24">
        <f t="shared" ref="K643:K706" si="20">J643*I643</f>
        <v>2618.4</v>
      </c>
      <c r="L643" s="24">
        <v>3661.83</v>
      </c>
      <c r="M643" s="2">
        <f t="shared" ref="M643:M706" si="21">L643-K643</f>
        <v>1043.4299999999998</v>
      </c>
      <c r="N643" t="str">
        <v>High</v>
      </c>
      <c r="O643" t="s">
        <v>63</v>
      </c>
    </row>
    <row r="644" spans="1:15" x14ac:dyDescent="0.3">
      <c r="A644" t="s">
        <v>682</v>
      </c>
      <c r="B644" s="1">
        <v>45935</v>
      </c>
      <c r="C644" t="s">
        <v>1103</v>
      </c>
      <c r="D644" t="s">
        <v>73</v>
      </c>
      <c r="E644" t="s">
        <v>1252</v>
      </c>
      <c r="F644" t="s">
        <v>1297</v>
      </c>
      <c r="G644" t="s">
        <v>60</v>
      </c>
      <c r="H644" t="s">
        <v>53</v>
      </c>
      <c r="I644">
        <v>8</v>
      </c>
      <c r="J644" s="24">
        <v>27.58</v>
      </c>
      <c r="K644" s="24">
        <f t="shared" si="20"/>
        <v>220.64</v>
      </c>
      <c r="L644" s="24">
        <v>252.98</v>
      </c>
      <c r="M644" s="2">
        <f t="shared" si="21"/>
        <v>32.340000000000003</v>
      </c>
      <c r="N644" t="str">
        <v>Low</v>
      </c>
      <c r="O644" t="s">
        <v>63</v>
      </c>
    </row>
    <row r="645" spans="1:15" x14ac:dyDescent="0.3">
      <c r="A645" t="s">
        <v>683</v>
      </c>
      <c r="B645" s="1">
        <v>45936</v>
      </c>
      <c r="C645" t="s">
        <v>1134</v>
      </c>
      <c r="D645" t="s">
        <v>71</v>
      </c>
      <c r="E645" t="s">
        <v>1241</v>
      </c>
      <c r="F645" t="s">
        <v>1312</v>
      </c>
      <c r="G645" t="s">
        <v>60</v>
      </c>
      <c r="H645" t="s">
        <v>52</v>
      </c>
      <c r="I645">
        <v>3</v>
      </c>
      <c r="J645" s="24">
        <v>343.44</v>
      </c>
      <c r="K645" s="24">
        <f t="shared" si="20"/>
        <v>1030.32</v>
      </c>
      <c r="L645" s="24">
        <v>1509.84</v>
      </c>
      <c r="M645" s="2">
        <f t="shared" si="21"/>
        <v>479.52</v>
      </c>
      <c r="N645" t="str">
        <v>Low</v>
      </c>
      <c r="O645" t="s">
        <v>63</v>
      </c>
    </row>
    <row r="646" spans="1:15" x14ac:dyDescent="0.3">
      <c r="A646" t="s">
        <v>684</v>
      </c>
      <c r="B646" s="1">
        <v>45937</v>
      </c>
      <c r="C646" t="s">
        <v>1236</v>
      </c>
      <c r="D646" t="s">
        <v>1255</v>
      </c>
      <c r="E646" t="s">
        <v>59</v>
      </c>
      <c r="F646" t="s">
        <v>1310</v>
      </c>
      <c r="G646" t="s">
        <v>60</v>
      </c>
      <c r="H646" t="s">
        <v>52</v>
      </c>
      <c r="I646">
        <v>8</v>
      </c>
      <c r="J646" s="24">
        <v>72.38</v>
      </c>
      <c r="K646" s="24">
        <f t="shared" si="20"/>
        <v>579.04</v>
      </c>
      <c r="L646" s="24">
        <v>851.95</v>
      </c>
      <c r="M646" s="2">
        <f t="shared" si="21"/>
        <v>272.91000000000008</v>
      </c>
      <c r="N646" t="str">
        <v>Low</v>
      </c>
      <c r="O646" t="s">
        <v>63</v>
      </c>
    </row>
    <row r="647" spans="1:15" x14ac:dyDescent="0.3">
      <c r="A647" t="s">
        <v>685</v>
      </c>
      <c r="B647" s="1">
        <v>45938</v>
      </c>
      <c r="C647" t="s">
        <v>1177</v>
      </c>
      <c r="D647" t="s">
        <v>72</v>
      </c>
      <c r="E647" t="s">
        <v>1246</v>
      </c>
      <c r="F647" t="s">
        <v>1286</v>
      </c>
      <c r="G647" t="s">
        <v>60</v>
      </c>
      <c r="H647" t="s">
        <v>54</v>
      </c>
      <c r="I647">
        <v>5</v>
      </c>
      <c r="J647" s="24">
        <v>333.18</v>
      </c>
      <c r="K647" s="24">
        <f t="shared" si="20"/>
        <v>1665.9</v>
      </c>
      <c r="L647" s="24">
        <v>2449.8200000000002</v>
      </c>
      <c r="M647" s="2">
        <f t="shared" si="21"/>
        <v>783.92000000000007</v>
      </c>
      <c r="N647" t="str">
        <v>High</v>
      </c>
      <c r="O647" t="s">
        <v>65</v>
      </c>
    </row>
    <row r="648" spans="1:15" x14ac:dyDescent="0.3">
      <c r="A648" t="s">
        <v>686</v>
      </c>
      <c r="B648" s="1">
        <v>45939</v>
      </c>
      <c r="C648" t="s">
        <v>1143</v>
      </c>
      <c r="D648" t="s">
        <v>71</v>
      </c>
      <c r="E648" t="s">
        <v>1241</v>
      </c>
      <c r="F648" t="s">
        <v>57</v>
      </c>
      <c r="G648" t="s">
        <v>60</v>
      </c>
      <c r="H648" t="s">
        <v>54</v>
      </c>
      <c r="I648">
        <v>5</v>
      </c>
      <c r="J648" s="24">
        <v>215.97</v>
      </c>
      <c r="K648" s="24">
        <f t="shared" si="20"/>
        <v>1079.8499999999999</v>
      </c>
      <c r="L648" s="24">
        <v>1426.98</v>
      </c>
      <c r="M648" s="2">
        <f t="shared" si="21"/>
        <v>347.13000000000011</v>
      </c>
      <c r="N648" t="str">
        <v>Low</v>
      </c>
      <c r="O648" t="s">
        <v>65</v>
      </c>
    </row>
    <row r="649" spans="1:15" x14ac:dyDescent="0.3">
      <c r="A649" t="s">
        <v>687</v>
      </c>
      <c r="B649" s="1">
        <v>45940</v>
      </c>
      <c r="C649" t="s">
        <v>1235</v>
      </c>
      <c r="D649" t="s">
        <v>71</v>
      </c>
      <c r="E649" t="s">
        <v>1240</v>
      </c>
      <c r="F649" t="s">
        <v>1273</v>
      </c>
      <c r="G649" t="s">
        <v>60</v>
      </c>
      <c r="H649" t="s">
        <v>51</v>
      </c>
      <c r="I649">
        <v>4</v>
      </c>
      <c r="J649" s="24">
        <v>172.34</v>
      </c>
      <c r="K649" s="24">
        <f t="shared" si="20"/>
        <v>689.36</v>
      </c>
      <c r="L649" s="24">
        <v>981.93</v>
      </c>
      <c r="M649" s="2">
        <f t="shared" si="21"/>
        <v>292.56999999999994</v>
      </c>
      <c r="N649" t="str">
        <v>Low</v>
      </c>
      <c r="O649" t="s">
        <v>65</v>
      </c>
    </row>
    <row r="650" spans="1:15" x14ac:dyDescent="0.3">
      <c r="A650" t="s">
        <v>688</v>
      </c>
      <c r="B650" s="1">
        <v>45941</v>
      </c>
      <c r="C650" t="s">
        <v>1144</v>
      </c>
      <c r="D650" t="s">
        <v>1255</v>
      </c>
      <c r="E650" t="s">
        <v>59</v>
      </c>
      <c r="F650" t="s">
        <v>1262</v>
      </c>
      <c r="G650" t="s">
        <v>60</v>
      </c>
      <c r="H650" t="s">
        <v>52</v>
      </c>
      <c r="I650">
        <v>4</v>
      </c>
      <c r="J650" s="24">
        <v>254.91</v>
      </c>
      <c r="K650" s="24">
        <f t="shared" si="20"/>
        <v>1019.64</v>
      </c>
      <c r="L650" s="24">
        <v>1155.4000000000001</v>
      </c>
      <c r="M650" s="2">
        <f t="shared" si="21"/>
        <v>135.7600000000001</v>
      </c>
      <c r="N650" t="str">
        <v>Low</v>
      </c>
      <c r="O650" t="s">
        <v>63</v>
      </c>
    </row>
    <row r="651" spans="1:15" x14ac:dyDescent="0.3">
      <c r="A651" t="s">
        <v>689</v>
      </c>
      <c r="B651" s="1">
        <v>45942</v>
      </c>
      <c r="C651" t="s">
        <v>1053</v>
      </c>
      <c r="D651" t="s">
        <v>71</v>
      </c>
      <c r="E651" t="s">
        <v>1251</v>
      </c>
      <c r="F651" t="s">
        <v>1276</v>
      </c>
      <c r="G651" t="s">
        <v>60</v>
      </c>
      <c r="H651" t="s">
        <v>53</v>
      </c>
      <c r="I651">
        <v>10</v>
      </c>
      <c r="J651" s="24">
        <v>184.89</v>
      </c>
      <c r="K651" s="24">
        <f t="shared" si="20"/>
        <v>1848.8999999999999</v>
      </c>
      <c r="L651" s="24">
        <v>2265.21</v>
      </c>
      <c r="M651" s="2">
        <f t="shared" si="21"/>
        <v>416.31000000000017</v>
      </c>
      <c r="N651" t="str">
        <v>High</v>
      </c>
      <c r="O651" t="s">
        <v>65</v>
      </c>
    </row>
    <row r="652" spans="1:15" x14ac:dyDescent="0.3">
      <c r="A652" t="s">
        <v>690</v>
      </c>
      <c r="B652" s="1">
        <v>45943</v>
      </c>
      <c r="C652" t="s">
        <v>1112</v>
      </c>
      <c r="D652" t="s">
        <v>71</v>
      </c>
      <c r="E652" t="s">
        <v>1254</v>
      </c>
      <c r="F652" t="s">
        <v>1304</v>
      </c>
      <c r="G652" t="s">
        <v>60</v>
      </c>
      <c r="H652" t="s">
        <v>51</v>
      </c>
      <c r="I652">
        <v>1</v>
      </c>
      <c r="J652" s="24">
        <v>62.95</v>
      </c>
      <c r="K652" s="24">
        <f t="shared" si="20"/>
        <v>62.95</v>
      </c>
      <c r="L652" s="24">
        <v>93.11</v>
      </c>
      <c r="M652" s="2">
        <f t="shared" si="21"/>
        <v>30.159999999999997</v>
      </c>
      <c r="N652" t="str">
        <v>Low</v>
      </c>
      <c r="O652" t="s">
        <v>64</v>
      </c>
    </row>
    <row r="653" spans="1:15" x14ac:dyDescent="0.3">
      <c r="A653" t="s">
        <v>691</v>
      </c>
      <c r="B653" s="1">
        <v>45944</v>
      </c>
      <c r="C653" t="s">
        <v>1183</v>
      </c>
      <c r="D653" t="s">
        <v>71</v>
      </c>
      <c r="E653" t="s">
        <v>1251</v>
      </c>
      <c r="F653" t="s">
        <v>1279</v>
      </c>
      <c r="G653" t="s">
        <v>60</v>
      </c>
      <c r="H653" t="s">
        <v>54</v>
      </c>
      <c r="I653">
        <v>3</v>
      </c>
      <c r="J653" s="24">
        <v>293.76</v>
      </c>
      <c r="K653" s="24">
        <f t="shared" si="20"/>
        <v>881.28</v>
      </c>
      <c r="L653" s="24">
        <v>1182.74</v>
      </c>
      <c r="M653" s="2">
        <f t="shared" si="21"/>
        <v>301.46000000000004</v>
      </c>
      <c r="N653" t="str">
        <v>Low</v>
      </c>
      <c r="O653" t="s">
        <v>63</v>
      </c>
    </row>
    <row r="654" spans="1:15" x14ac:dyDescent="0.3">
      <c r="A654" t="s">
        <v>692</v>
      </c>
      <c r="B654" s="1">
        <v>45945</v>
      </c>
      <c r="C654" t="s">
        <v>1114</v>
      </c>
      <c r="D654" t="s">
        <v>72</v>
      </c>
      <c r="E654" t="s">
        <v>1242</v>
      </c>
      <c r="F654" t="s">
        <v>1332</v>
      </c>
      <c r="G654" t="s">
        <v>60</v>
      </c>
      <c r="H654" t="s">
        <v>51</v>
      </c>
      <c r="I654">
        <v>4</v>
      </c>
      <c r="J654" s="24">
        <v>394.54</v>
      </c>
      <c r="K654" s="24">
        <f t="shared" si="20"/>
        <v>1578.16</v>
      </c>
      <c r="L654" s="24">
        <v>2145.61</v>
      </c>
      <c r="M654" s="2">
        <f t="shared" si="21"/>
        <v>567.45000000000005</v>
      </c>
      <c r="N654" t="str">
        <v>High</v>
      </c>
      <c r="O654" t="s">
        <v>64</v>
      </c>
    </row>
    <row r="655" spans="1:15" x14ac:dyDescent="0.3">
      <c r="A655" t="s">
        <v>693</v>
      </c>
      <c r="B655" s="1">
        <v>45946</v>
      </c>
      <c r="C655" t="s">
        <v>1082</v>
      </c>
      <c r="D655" t="s">
        <v>73</v>
      </c>
      <c r="E655" t="s">
        <v>1252</v>
      </c>
      <c r="F655" t="s">
        <v>1297</v>
      </c>
      <c r="G655" t="s">
        <v>60</v>
      </c>
      <c r="H655" t="s">
        <v>53</v>
      </c>
      <c r="I655">
        <v>3</v>
      </c>
      <c r="J655" s="24">
        <v>366.5</v>
      </c>
      <c r="K655" s="24">
        <f t="shared" si="20"/>
        <v>1099.5</v>
      </c>
      <c r="L655" s="24">
        <v>1251.4000000000001</v>
      </c>
      <c r="M655" s="2">
        <f t="shared" si="21"/>
        <v>151.90000000000009</v>
      </c>
      <c r="N655" t="str">
        <v>Low</v>
      </c>
      <c r="O655" t="s">
        <v>65</v>
      </c>
    </row>
    <row r="656" spans="1:15" x14ac:dyDescent="0.3">
      <c r="A656" t="s">
        <v>694</v>
      </c>
      <c r="B656" s="1">
        <v>45947</v>
      </c>
      <c r="C656" t="s">
        <v>1044</v>
      </c>
      <c r="D656" t="s">
        <v>72</v>
      </c>
      <c r="E656" t="s">
        <v>1245</v>
      </c>
      <c r="F656" t="s">
        <v>1305</v>
      </c>
      <c r="G656" t="s">
        <v>60</v>
      </c>
      <c r="H656" t="s">
        <v>54</v>
      </c>
      <c r="I656">
        <v>9</v>
      </c>
      <c r="J656" s="24">
        <v>477.05</v>
      </c>
      <c r="K656" s="24">
        <f t="shared" si="20"/>
        <v>4293.45</v>
      </c>
      <c r="L656" s="24">
        <v>5108.03</v>
      </c>
      <c r="M656" s="2">
        <f t="shared" si="21"/>
        <v>814.57999999999993</v>
      </c>
      <c r="N656" t="str">
        <v>High</v>
      </c>
      <c r="O656" t="s">
        <v>64</v>
      </c>
    </row>
    <row r="657" spans="1:15" x14ac:dyDescent="0.3">
      <c r="A657" t="s">
        <v>695</v>
      </c>
      <c r="B657" s="1">
        <v>45948</v>
      </c>
      <c r="C657" t="s">
        <v>1076</v>
      </c>
      <c r="D657" t="s">
        <v>72</v>
      </c>
      <c r="E657" t="s">
        <v>1245</v>
      </c>
      <c r="F657" t="s">
        <v>1263</v>
      </c>
      <c r="G657" t="s">
        <v>60</v>
      </c>
      <c r="H657" t="s">
        <v>54</v>
      </c>
      <c r="I657">
        <v>2</v>
      </c>
      <c r="J657" s="24">
        <v>25.67</v>
      </c>
      <c r="K657" s="24">
        <f t="shared" si="20"/>
        <v>51.34</v>
      </c>
      <c r="L657" s="24">
        <v>61.51</v>
      </c>
      <c r="M657" s="2">
        <f t="shared" si="21"/>
        <v>10.169999999999995</v>
      </c>
      <c r="N657" t="str">
        <v>Low</v>
      </c>
      <c r="O657" t="s">
        <v>65</v>
      </c>
    </row>
    <row r="658" spans="1:15" x14ac:dyDescent="0.3">
      <c r="A658" t="s">
        <v>696</v>
      </c>
      <c r="B658" s="1">
        <v>45949</v>
      </c>
      <c r="C658" t="s">
        <v>1063</v>
      </c>
      <c r="D658" t="s">
        <v>71</v>
      </c>
      <c r="E658" t="s">
        <v>1241</v>
      </c>
      <c r="F658" t="s">
        <v>1299</v>
      </c>
      <c r="G658" t="s">
        <v>60</v>
      </c>
      <c r="H658" t="s">
        <v>52</v>
      </c>
      <c r="I658">
        <v>9</v>
      </c>
      <c r="J658" s="24">
        <v>203.53</v>
      </c>
      <c r="K658" s="24">
        <f t="shared" si="20"/>
        <v>1831.77</v>
      </c>
      <c r="L658" s="24">
        <v>2053.52</v>
      </c>
      <c r="M658" s="2">
        <f t="shared" si="21"/>
        <v>221.75</v>
      </c>
      <c r="N658" t="str">
        <v>High</v>
      </c>
      <c r="O658" t="s">
        <v>65</v>
      </c>
    </row>
    <row r="659" spans="1:15" x14ac:dyDescent="0.3">
      <c r="A659" t="s">
        <v>697</v>
      </c>
      <c r="B659" s="1">
        <v>45950</v>
      </c>
      <c r="C659" t="s">
        <v>1143</v>
      </c>
      <c r="D659" t="s">
        <v>71</v>
      </c>
      <c r="E659" t="s">
        <v>1248</v>
      </c>
      <c r="F659" t="s">
        <v>1271</v>
      </c>
      <c r="G659" t="s">
        <v>60</v>
      </c>
      <c r="H659" t="s">
        <v>53</v>
      </c>
      <c r="I659">
        <v>6</v>
      </c>
      <c r="J659" s="24">
        <v>340.59</v>
      </c>
      <c r="K659" s="24">
        <f t="shared" si="20"/>
        <v>2043.54</v>
      </c>
      <c r="L659" s="24">
        <v>2704.51</v>
      </c>
      <c r="M659" s="2">
        <f t="shared" si="21"/>
        <v>660.97000000000025</v>
      </c>
      <c r="N659" t="str">
        <v>High</v>
      </c>
      <c r="O659" t="s">
        <v>63</v>
      </c>
    </row>
    <row r="660" spans="1:15" x14ac:dyDescent="0.3">
      <c r="A660" t="s">
        <v>698</v>
      </c>
      <c r="B660" s="1">
        <v>45951</v>
      </c>
      <c r="C660" t="s">
        <v>1118</v>
      </c>
      <c r="D660" t="s">
        <v>74</v>
      </c>
      <c r="E660" t="s">
        <v>1244</v>
      </c>
      <c r="F660" t="s">
        <v>1314</v>
      </c>
      <c r="G660" t="s">
        <v>60</v>
      </c>
      <c r="H660" t="s">
        <v>53</v>
      </c>
      <c r="I660">
        <v>9</v>
      </c>
      <c r="J660" s="24">
        <v>124.11</v>
      </c>
      <c r="K660" s="24">
        <f t="shared" si="20"/>
        <v>1116.99</v>
      </c>
      <c r="L660" s="24">
        <v>1597.36</v>
      </c>
      <c r="M660" s="2">
        <f t="shared" si="21"/>
        <v>480.36999999999989</v>
      </c>
      <c r="N660" t="str">
        <v>Low</v>
      </c>
      <c r="O660" t="s">
        <v>65</v>
      </c>
    </row>
    <row r="661" spans="1:15" x14ac:dyDescent="0.3">
      <c r="A661" t="s">
        <v>699</v>
      </c>
      <c r="B661" s="1">
        <v>45952</v>
      </c>
      <c r="C661" t="s">
        <v>1115</v>
      </c>
      <c r="D661" t="s">
        <v>1255</v>
      </c>
      <c r="E661" t="s">
        <v>59</v>
      </c>
      <c r="F661" t="s">
        <v>1266</v>
      </c>
      <c r="G661" t="s">
        <v>60</v>
      </c>
      <c r="H661" t="s">
        <v>53</v>
      </c>
      <c r="I661">
        <v>5</v>
      </c>
      <c r="J661" s="24">
        <v>487.88</v>
      </c>
      <c r="K661" s="24">
        <f t="shared" si="20"/>
        <v>2439.4</v>
      </c>
      <c r="L661" s="24">
        <v>2811.06</v>
      </c>
      <c r="M661" s="2">
        <f t="shared" si="21"/>
        <v>371.65999999999985</v>
      </c>
      <c r="N661" t="str">
        <v>High</v>
      </c>
      <c r="O661" t="s">
        <v>65</v>
      </c>
    </row>
    <row r="662" spans="1:15" x14ac:dyDescent="0.3">
      <c r="A662" t="s">
        <v>700</v>
      </c>
      <c r="B662" s="1">
        <v>45953</v>
      </c>
      <c r="C662" t="s">
        <v>1105</v>
      </c>
      <c r="D662" t="s">
        <v>74</v>
      </c>
      <c r="E662" t="s">
        <v>1249</v>
      </c>
      <c r="F662" t="s">
        <v>1324</v>
      </c>
      <c r="G662" t="s">
        <v>60</v>
      </c>
      <c r="H662" t="s">
        <v>51</v>
      </c>
      <c r="I662">
        <v>9</v>
      </c>
      <c r="J662" s="24">
        <v>194.26</v>
      </c>
      <c r="K662" s="24">
        <f t="shared" si="20"/>
        <v>1748.34</v>
      </c>
      <c r="L662" s="24">
        <v>2217.17</v>
      </c>
      <c r="M662" s="2">
        <f t="shared" si="21"/>
        <v>468.83000000000015</v>
      </c>
      <c r="N662" t="str">
        <v>High</v>
      </c>
      <c r="O662" t="s">
        <v>65</v>
      </c>
    </row>
    <row r="663" spans="1:15" x14ac:dyDescent="0.3">
      <c r="A663" t="s">
        <v>701</v>
      </c>
      <c r="B663" s="1">
        <v>45954</v>
      </c>
      <c r="C663" t="s">
        <v>1050</v>
      </c>
      <c r="D663" t="s">
        <v>72</v>
      </c>
      <c r="E663" t="s">
        <v>1242</v>
      </c>
      <c r="F663" t="s">
        <v>1294</v>
      </c>
      <c r="G663" t="s">
        <v>60</v>
      </c>
      <c r="H663" t="s">
        <v>54</v>
      </c>
      <c r="I663">
        <v>1</v>
      </c>
      <c r="J663" s="24">
        <v>136.38</v>
      </c>
      <c r="K663" s="24">
        <f t="shared" si="20"/>
        <v>136.38</v>
      </c>
      <c r="L663" s="24">
        <v>176.16</v>
      </c>
      <c r="M663" s="2">
        <f t="shared" si="21"/>
        <v>39.78</v>
      </c>
      <c r="N663" t="str">
        <v>Low</v>
      </c>
      <c r="O663" t="s">
        <v>63</v>
      </c>
    </row>
    <row r="664" spans="1:15" x14ac:dyDescent="0.3">
      <c r="A664" t="s">
        <v>702</v>
      </c>
      <c r="B664" s="1">
        <v>45955</v>
      </c>
      <c r="C664" t="s">
        <v>1108</v>
      </c>
      <c r="D664" t="s">
        <v>73</v>
      </c>
      <c r="E664" t="s">
        <v>1250</v>
      </c>
      <c r="F664" t="s">
        <v>1319</v>
      </c>
      <c r="G664" t="s">
        <v>60</v>
      </c>
      <c r="H664" t="s">
        <v>52</v>
      </c>
      <c r="I664">
        <v>5</v>
      </c>
      <c r="J664" s="24">
        <v>283.8</v>
      </c>
      <c r="K664" s="24">
        <f t="shared" si="20"/>
        <v>1419</v>
      </c>
      <c r="L664" s="24">
        <v>1618.42</v>
      </c>
      <c r="M664" s="2">
        <f t="shared" si="21"/>
        <v>199.42000000000007</v>
      </c>
      <c r="N664" t="str">
        <v>Low</v>
      </c>
      <c r="O664" t="s">
        <v>65</v>
      </c>
    </row>
    <row r="665" spans="1:15" x14ac:dyDescent="0.3">
      <c r="A665" t="s">
        <v>703</v>
      </c>
      <c r="B665" s="1">
        <v>45956</v>
      </c>
      <c r="C665" t="s">
        <v>1219</v>
      </c>
      <c r="D665" t="s">
        <v>72</v>
      </c>
      <c r="E665" t="s">
        <v>1253</v>
      </c>
      <c r="F665" t="s">
        <v>1313</v>
      </c>
      <c r="G665" t="s">
        <v>60</v>
      </c>
      <c r="H665" t="s">
        <v>52</v>
      </c>
      <c r="I665">
        <v>10</v>
      </c>
      <c r="J665" s="24">
        <v>349.92</v>
      </c>
      <c r="K665" s="24">
        <f t="shared" si="20"/>
        <v>3499.2000000000003</v>
      </c>
      <c r="L665" s="24">
        <v>4467.7299999999996</v>
      </c>
      <c r="M665" s="2">
        <f t="shared" si="21"/>
        <v>968.52999999999929</v>
      </c>
      <c r="N665" t="str">
        <v>High</v>
      </c>
      <c r="O665" t="s">
        <v>64</v>
      </c>
    </row>
    <row r="666" spans="1:15" x14ac:dyDescent="0.3">
      <c r="A666" t="s">
        <v>704</v>
      </c>
      <c r="B666" s="1">
        <v>45957</v>
      </c>
      <c r="C666" t="s">
        <v>1054</v>
      </c>
      <c r="D666" t="s">
        <v>1255</v>
      </c>
      <c r="E666" t="s">
        <v>59</v>
      </c>
      <c r="F666" t="s">
        <v>1262</v>
      </c>
      <c r="G666" t="s">
        <v>60</v>
      </c>
      <c r="H666" t="s">
        <v>53</v>
      </c>
      <c r="I666">
        <v>3</v>
      </c>
      <c r="J666" s="24">
        <v>173.38</v>
      </c>
      <c r="K666" s="24">
        <f t="shared" si="20"/>
        <v>520.14</v>
      </c>
      <c r="L666" s="24">
        <v>581.82000000000005</v>
      </c>
      <c r="M666" s="2">
        <f t="shared" si="21"/>
        <v>61.680000000000064</v>
      </c>
      <c r="N666" t="str">
        <v>Low</v>
      </c>
      <c r="O666" t="s">
        <v>65</v>
      </c>
    </row>
    <row r="667" spans="1:15" x14ac:dyDescent="0.3">
      <c r="A667" t="s">
        <v>705</v>
      </c>
      <c r="B667" s="1">
        <v>45958</v>
      </c>
      <c r="C667" t="s">
        <v>1159</v>
      </c>
      <c r="D667" t="s">
        <v>72</v>
      </c>
      <c r="E667" t="s">
        <v>1246</v>
      </c>
      <c r="F667" t="s">
        <v>1300</v>
      </c>
      <c r="G667" t="s">
        <v>60</v>
      </c>
      <c r="H667" t="s">
        <v>52</v>
      </c>
      <c r="I667">
        <v>2</v>
      </c>
      <c r="J667" s="24">
        <v>302.68</v>
      </c>
      <c r="K667" s="24">
        <f t="shared" si="20"/>
        <v>605.36</v>
      </c>
      <c r="L667" s="24">
        <v>822.28</v>
      </c>
      <c r="M667" s="2">
        <f t="shared" si="21"/>
        <v>216.91999999999996</v>
      </c>
      <c r="N667" t="str">
        <v>Low</v>
      </c>
      <c r="O667" t="s">
        <v>65</v>
      </c>
    </row>
    <row r="668" spans="1:15" x14ac:dyDescent="0.3">
      <c r="A668" t="s">
        <v>706</v>
      </c>
      <c r="B668" s="1">
        <v>45959</v>
      </c>
      <c r="C668" t="s">
        <v>1127</v>
      </c>
      <c r="D668" t="s">
        <v>71</v>
      </c>
      <c r="E668" t="s">
        <v>1248</v>
      </c>
      <c r="F668" t="s">
        <v>1329</v>
      </c>
      <c r="G668" t="s">
        <v>60</v>
      </c>
      <c r="H668" t="s">
        <v>54</v>
      </c>
      <c r="I668">
        <v>8</v>
      </c>
      <c r="J668" s="24">
        <v>475.81</v>
      </c>
      <c r="K668" s="24">
        <f t="shared" si="20"/>
        <v>3806.48</v>
      </c>
      <c r="L668" s="24">
        <v>5476.44</v>
      </c>
      <c r="M668" s="2">
        <f t="shared" si="21"/>
        <v>1669.9599999999996</v>
      </c>
      <c r="N668" t="str">
        <v>High</v>
      </c>
      <c r="O668" t="s">
        <v>65</v>
      </c>
    </row>
    <row r="669" spans="1:15" x14ac:dyDescent="0.3">
      <c r="A669" t="s">
        <v>707</v>
      </c>
      <c r="B669" s="1">
        <v>45960</v>
      </c>
      <c r="C669" t="s">
        <v>1074</v>
      </c>
      <c r="D669" t="s">
        <v>1255</v>
      </c>
      <c r="E669" t="s">
        <v>59</v>
      </c>
      <c r="F669" t="s">
        <v>1295</v>
      </c>
      <c r="G669" t="s">
        <v>60</v>
      </c>
      <c r="H669" t="s">
        <v>53</v>
      </c>
      <c r="I669">
        <v>5</v>
      </c>
      <c r="J669" s="24">
        <v>164.82</v>
      </c>
      <c r="K669" s="24">
        <f t="shared" si="20"/>
        <v>824.09999999999991</v>
      </c>
      <c r="L669" s="24">
        <v>974.49</v>
      </c>
      <c r="M669" s="2">
        <f t="shared" si="21"/>
        <v>150.3900000000001</v>
      </c>
      <c r="N669" t="str">
        <v>Low</v>
      </c>
      <c r="O669" t="s">
        <v>63</v>
      </c>
    </row>
    <row r="670" spans="1:15" x14ac:dyDescent="0.3">
      <c r="A670" t="s">
        <v>708</v>
      </c>
      <c r="B670" s="1">
        <v>45961</v>
      </c>
      <c r="C670" t="s">
        <v>1195</v>
      </c>
      <c r="D670" t="s">
        <v>72</v>
      </c>
      <c r="E670" t="s">
        <v>1253</v>
      </c>
      <c r="F670" t="s">
        <v>1331</v>
      </c>
      <c r="G670" t="s">
        <v>60</v>
      </c>
      <c r="H670" t="s">
        <v>53</v>
      </c>
      <c r="I670">
        <v>8</v>
      </c>
      <c r="J670" s="24">
        <v>34</v>
      </c>
      <c r="K670" s="24">
        <f t="shared" si="20"/>
        <v>272</v>
      </c>
      <c r="L670" s="24">
        <v>352.27</v>
      </c>
      <c r="M670" s="2">
        <f t="shared" si="21"/>
        <v>80.269999999999982</v>
      </c>
      <c r="N670" t="str">
        <v>Low</v>
      </c>
      <c r="O670" t="s">
        <v>65</v>
      </c>
    </row>
    <row r="671" spans="1:15" x14ac:dyDescent="0.3">
      <c r="A671" t="s">
        <v>709</v>
      </c>
      <c r="B671" s="1">
        <v>45962</v>
      </c>
      <c r="C671" t="s">
        <v>1183</v>
      </c>
      <c r="D671" t="s">
        <v>71</v>
      </c>
      <c r="E671" t="s">
        <v>1251</v>
      </c>
      <c r="F671" t="s">
        <v>1279</v>
      </c>
      <c r="G671" t="s">
        <v>60</v>
      </c>
      <c r="H671" t="s">
        <v>52</v>
      </c>
      <c r="I671">
        <v>10</v>
      </c>
      <c r="J671" s="24">
        <v>399.41</v>
      </c>
      <c r="K671" s="24">
        <f t="shared" si="20"/>
        <v>3994.1000000000004</v>
      </c>
      <c r="L671" s="24">
        <v>5172.3</v>
      </c>
      <c r="M671" s="2">
        <f t="shared" si="21"/>
        <v>1178.1999999999998</v>
      </c>
      <c r="N671" t="str">
        <v>High</v>
      </c>
      <c r="O671" t="s">
        <v>65</v>
      </c>
    </row>
    <row r="672" spans="1:15" x14ac:dyDescent="0.3">
      <c r="A672" t="s">
        <v>710</v>
      </c>
      <c r="B672" s="1">
        <v>45963</v>
      </c>
      <c r="C672" t="s">
        <v>1209</v>
      </c>
      <c r="D672" t="s">
        <v>72</v>
      </c>
      <c r="E672" t="s">
        <v>1253</v>
      </c>
      <c r="F672" t="s">
        <v>1313</v>
      </c>
      <c r="G672" t="s">
        <v>60</v>
      </c>
      <c r="H672" t="s">
        <v>52</v>
      </c>
      <c r="I672">
        <v>8</v>
      </c>
      <c r="J672" s="24">
        <v>472.52</v>
      </c>
      <c r="K672" s="24">
        <f t="shared" si="20"/>
        <v>3780.16</v>
      </c>
      <c r="L672" s="24">
        <v>5513.82</v>
      </c>
      <c r="M672" s="2">
        <f t="shared" si="21"/>
        <v>1733.6599999999999</v>
      </c>
      <c r="N672" t="str">
        <v>High</v>
      </c>
      <c r="O672" t="s">
        <v>63</v>
      </c>
    </row>
    <row r="673" spans="1:15" x14ac:dyDescent="0.3">
      <c r="A673" t="s">
        <v>711</v>
      </c>
      <c r="B673" s="1">
        <v>45964</v>
      </c>
      <c r="C673" t="s">
        <v>1210</v>
      </c>
      <c r="D673" t="s">
        <v>71</v>
      </c>
      <c r="E673" t="s">
        <v>1248</v>
      </c>
      <c r="F673" t="s">
        <v>1291</v>
      </c>
      <c r="G673" t="s">
        <v>60</v>
      </c>
      <c r="H673" t="s">
        <v>54</v>
      </c>
      <c r="I673">
        <v>4</v>
      </c>
      <c r="J673" s="24">
        <v>429.83</v>
      </c>
      <c r="K673" s="24">
        <f t="shared" si="20"/>
        <v>1719.32</v>
      </c>
      <c r="L673" s="24">
        <v>2286.6999999999998</v>
      </c>
      <c r="M673" s="2">
        <f t="shared" si="21"/>
        <v>567.37999999999988</v>
      </c>
      <c r="N673" t="str">
        <v>High</v>
      </c>
      <c r="O673" t="s">
        <v>65</v>
      </c>
    </row>
    <row r="674" spans="1:15" x14ac:dyDescent="0.3">
      <c r="A674" t="s">
        <v>712</v>
      </c>
      <c r="B674" s="1">
        <v>45965</v>
      </c>
      <c r="C674" t="s">
        <v>1190</v>
      </c>
      <c r="D674" t="s">
        <v>72</v>
      </c>
      <c r="E674" t="s">
        <v>1246</v>
      </c>
      <c r="F674" t="s">
        <v>1282</v>
      </c>
      <c r="G674" t="s">
        <v>60</v>
      </c>
      <c r="H674" t="s">
        <v>51</v>
      </c>
      <c r="I674">
        <v>7</v>
      </c>
      <c r="J674" s="24">
        <v>167.76</v>
      </c>
      <c r="K674" s="24">
        <f t="shared" si="20"/>
        <v>1174.32</v>
      </c>
      <c r="L674" s="24">
        <v>1393.4</v>
      </c>
      <c r="M674" s="2">
        <f t="shared" si="21"/>
        <v>219.08000000000015</v>
      </c>
      <c r="N674" t="str">
        <v>Low</v>
      </c>
      <c r="O674" t="s">
        <v>65</v>
      </c>
    </row>
    <row r="675" spans="1:15" x14ac:dyDescent="0.3">
      <c r="A675" t="s">
        <v>713</v>
      </c>
      <c r="B675" s="1">
        <v>45966</v>
      </c>
      <c r="C675" t="s">
        <v>1217</v>
      </c>
      <c r="D675" t="s">
        <v>73</v>
      </c>
      <c r="E675" t="s">
        <v>1243</v>
      </c>
      <c r="F675" t="s">
        <v>1272</v>
      </c>
      <c r="G675" t="s">
        <v>60</v>
      </c>
      <c r="H675" t="s">
        <v>52</v>
      </c>
      <c r="I675">
        <v>8</v>
      </c>
      <c r="J675" s="24">
        <v>69</v>
      </c>
      <c r="K675" s="24">
        <f t="shared" si="20"/>
        <v>552</v>
      </c>
      <c r="L675" s="24">
        <v>633.67999999999995</v>
      </c>
      <c r="M675" s="2">
        <f t="shared" si="21"/>
        <v>81.67999999999995</v>
      </c>
      <c r="N675" t="str">
        <v>Low</v>
      </c>
      <c r="O675" t="s">
        <v>63</v>
      </c>
    </row>
    <row r="676" spans="1:15" x14ac:dyDescent="0.3">
      <c r="A676" t="s">
        <v>714</v>
      </c>
      <c r="B676" s="1">
        <v>45967</v>
      </c>
      <c r="C676" t="s">
        <v>1237</v>
      </c>
      <c r="D676" t="s">
        <v>71</v>
      </c>
      <c r="E676" t="s">
        <v>1240</v>
      </c>
      <c r="F676" t="s">
        <v>1333</v>
      </c>
      <c r="G676" t="s">
        <v>60</v>
      </c>
      <c r="H676" t="s">
        <v>53</v>
      </c>
      <c r="I676">
        <v>7</v>
      </c>
      <c r="J676" s="24">
        <v>274.82</v>
      </c>
      <c r="K676" s="24">
        <f t="shared" si="20"/>
        <v>1923.74</v>
      </c>
      <c r="L676" s="24">
        <v>2587.16</v>
      </c>
      <c r="M676" s="2">
        <f t="shared" si="21"/>
        <v>663.41999999999985</v>
      </c>
      <c r="N676" t="str">
        <v>High</v>
      </c>
      <c r="O676" t="s">
        <v>63</v>
      </c>
    </row>
    <row r="677" spans="1:15" x14ac:dyDescent="0.3">
      <c r="A677" t="s">
        <v>715</v>
      </c>
      <c r="B677" s="1">
        <v>45968</v>
      </c>
      <c r="C677" t="s">
        <v>1171</v>
      </c>
      <c r="D677" t="s">
        <v>1255</v>
      </c>
      <c r="E677" t="s">
        <v>59</v>
      </c>
      <c r="F677" t="s">
        <v>1295</v>
      </c>
      <c r="G677" t="s">
        <v>60</v>
      </c>
      <c r="H677" t="s">
        <v>53</v>
      </c>
      <c r="I677">
        <v>1</v>
      </c>
      <c r="J677" s="24">
        <v>258.33999999999997</v>
      </c>
      <c r="K677" s="24">
        <f t="shared" si="20"/>
        <v>258.33999999999997</v>
      </c>
      <c r="L677" s="24">
        <v>372.03</v>
      </c>
      <c r="M677" s="2">
        <f t="shared" si="21"/>
        <v>113.69</v>
      </c>
      <c r="N677" t="str">
        <v>Low</v>
      </c>
      <c r="O677" t="s">
        <v>65</v>
      </c>
    </row>
    <row r="678" spans="1:15" x14ac:dyDescent="0.3">
      <c r="A678" t="s">
        <v>716</v>
      </c>
      <c r="B678" s="1">
        <v>45969</v>
      </c>
      <c r="C678" t="s">
        <v>1106</v>
      </c>
      <c r="D678" t="s">
        <v>72</v>
      </c>
      <c r="E678" t="s">
        <v>1253</v>
      </c>
      <c r="F678" t="s">
        <v>1298</v>
      </c>
      <c r="G678" t="s">
        <v>60</v>
      </c>
      <c r="H678" t="s">
        <v>54</v>
      </c>
      <c r="I678">
        <v>8</v>
      </c>
      <c r="J678" s="24">
        <v>241.71</v>
      </c>
      <c r="K678" s="24">
        <f t="shared" si="20"/>
        <v>1933.68</v>
      </c>
      <c r="L678" s="24">
        <v>2435.04</v>
      </c>
      <c r="M678" s="2">
        <f t="shared" si="21"/>
        <v>501.3599999999999</v>
      </c>
      <c r="N678" t="str">
        <v>High</v>
      </c>
      <c r="O678" t="s">
        <v>64</v>
      </c>
    </row>
    <row r="679" spans="1:15" x14ac:dyDescent="0.3">
      <c r="A679" t="s">
        <v>717</v>
      </c>
      <c r="B679" s="1">
        <v>45970</v>
      </c>
      <c r="C679" t="s">
        <v>1197</v>
      </c>
      <c r="D679" t="s">
        <v>73</v>
      </c>
      <c r="E679" t="s">
        <v>1243</v>
      </c>
      <c r="F679" t="s">
        <v>1272</v>
      </c>
      <c r="G679" t="s">
        <v>60</v>
      </c>
      <c r="H679" t="s">
        <v>53</v>
      </c>
      <c r="I679">
        <v>6</v>
      </c>
      <c r="J679" s="24">
        <v>310.36</v>
      </c>
      <c r="K679" s="24">
        <f t="shared" si="20"/>
        <v>1862.16</v>
      </c>
      <c r="L679" s="24">
        <v>2669.13</v>
      </c>
      <c r="M679" s="2">
        <f t="shared" si="21"/>
        <v>806.97</v>
      </c>
      <c r="N679" t="str">
        <v>High</v>
      </c>
      <c r="O679" t="s">
        <v>65</v>
      </c>
    </row>
    <row r="680" spans="1:15" x14ac:dyDescent="0.3">
      <c r="A680" t="s">
        <v>718</v>
      </c>
      <c r="B680" s="1">
        <v>45971</v>
      </c>
      <c r="C680" t="s">
        <v>1119</v>
      </c>
      <c r="D680" t="s">
        <v>71</v>
      </c>
      <c r="E680" t="s">
        <v>1251</v>
      </c>
      <c r="F680" t="s">
        <v>1326</v>
      </c>
      <c r="G680" t="s">
        <v>60</v>
      </c>
      <c r="H680" t="s">
        <v>51</v>
      </c>
      <c r="I680">
        <v>4</v>
      </c>
      <c r="J680" s="24">
        <v>397.95</v>
      </c>
      <c r="K680" s="24">
        <f t="shared" si="20"/>
        <v>1591.8</v>
      </c>
      <c r="L680" s="24">
        <v>2086.13</v>
      </c>
      <c r="M680" s="2">
        <f t="shared" si="21"/>
        <v>494.33000000000015</v>
      </c>
      <c r="N680" t="str">
        <v>High</v>
      </c>
      <c r="O680" t="s">
        <v>64</v>
      </c>
    </row>
    <row r="681" spans="1:15" x14ac:dyDescent="0.3">
      <c r="A681" t="s">
        <v>719</v>
      </c>
      <c r="B681" s="1">
        <v>45972</v>
      </c>
      <c r="C681" t="s">
        <v>1053</v>
      </c>
      <c r="D681" t="s">
        <v>72</v>
      </c>
      <c r="E681" t="s">
        <v>1242</v>
      </c>
      <c r="F681" t="s">
        <v>1288</v>
      </c>
      <c r="G681" t="s">
        <v>60</v>
      </c>
      <c r="H681" t="s">
        <v>51</v>
      </c>
      <c r="I681">
        <v>9</v>
      </c>
      <c r="J681" s="24">
        <v>192.79</v>
      </c>
      <c r="K681" s="24">
        <f t="shared" si="20"/>
        <v>1735.11</v>
      </c>
      <c r="L681" s="24">
        <v>2104.7600000000002</v>
      </c>
      <c r="M681" s="2">
        <f t="shared" si="21"/>
        <v>369.65000000000032</v>
      </c>
      <c r="N681" t="str">
        <v>High</v>
      </c>
      <c r="O681" t="s">
        <v>63</v>
      </c>
    </row>
    <row r="682" spans="1:15" x14ac:dyDescent="0.3">
      <c r="A682" t="s">
        <v>720</v>
      </c>
      <c r="B682" s="1">
        <v>45973</v>
      </c>
      <c r="C682" t="s">
        <v>1155</v>
      </c>
      <c r="D682" t="s">
        <v>74</v>
      </c>
      <c r="E682" t="s">
        <v>1247</v>
      </c>
      <c r="F682" t="s">
        <v>1316</v>
      </c>
      <c r="G682" t="s">
        <v>60</v>
      </c>
      <c r="H682" t="s">
        <v>54</v>
      </c>
      <c r="I682">
        <v>4</v>
      </c>
      <c r="J682" s="24">
        <v>349.83</v>
      </c>
      <c r="K682" s="24">
        <f t="shared" si="20"/>
        <v>1399.32</v>
      </c>
      <c r="L682" s="24">
        <v>1801.69</v>
      </c>
      <c r="M682" s="2">
        <f t="shared" si="21"/>
        <v>402.37000000000012</v>
      </c>
      <c r="N682" t="str">
        <v>Low</v>
      </c>
      <c r="O682" t="s">
        <v>64</v>
      </c>
    </row>
    <row r="683" spans="1:15" x14ac:dyDescent="0.3">
      <c r="A683" t="s">
        <v>721</v>
      </c>
      <c r="B683" s="1">
        <v>45974</v>
      </c>
      <c r="C683" t="s">
        <v>1084</v>
      </c>
      <c r="D683" t="s">
        <v>71</v>
      </c>
      <c r="E683" t="s">
        <v>1240</v>
      </c>
      <c r="F683" t="s">
        <v>1260</v>
      </c>
      <c r="G683" t="s">
        <v>60</v>
      </c>
      <c r="H683" t="s">
        <v>53</v>
      </c>
      <c r="I683">
        <v>5</v>
      </c>
      <c r="J683" s="24">
        <v>216.86</v>
      </c>
      <c r="K683" s="24">
        <f t="shared" si="20"/>
        <v>1084.3000000000002</v>
      </c>
      <c r="L683" s="24">
        <v>1318.22</v>
      </c>
      <c r="M683" s="2">
        <f t="shared" si="21"/>
        <v>233.91999999999985</v>
      </c>
      <c r="N683" t="str">
        <v>Low</v>
      </c>
      <c r="O683" t="s">
        <v>63</v>
      </c>
    </row>
    <row r="684" spans="1:15" x14ac:dyDescent="0.3">
      <c r="A684" t="s">
        <v>722</v>
      </c>
      <c r="B684" s="1">
        <v>45975</v>
      </c>
      <c r="C684" t="s">
        <v>1129</v>
      </c>
      <c r="D684" t="s">
        <v>72</v>
      </c>
      <c r="E684" t="s">
        <v>1245</v>
      </c>
      <c r="F684" t="s">
        <v>1305</v>
      </c>
      <c r="G684" t="s">
        <v>60</v>
      </c>
      <c r="H684" t="s">
        <v>53</v>
      </c>
      <c r="I684">
        <v>3</v>
      </c>
      <c r="J684" s="24">
        <v>339.68</v>
      </c>
      <c r="K684" s="24">
        <f t="shared" si="20"/>
        <v>1019.04</v>
      </c>
      <c r="L684" s="24">
        <v>1379.93</v>
      </c>
      <c r="M684" s="2">
        <f t="shared" si="21"/>
        <v>360.8900000000001</v>
      </c>
      <c r="N684" t="str">
        <v>Low</v>
      </c>
      <c r="O684" t="s">
        <v>64</v>
      </c>
    </row>
    <row r="685" spans="1:15" x14ac:dyDescent="0.3">
      <c r="A685" t="s">
        <v>723</v>
      </c>
      <c r="B685" s="1">
        <v>45976</v>
      </c>
      <c r="C685" t="s">
        <v>1201</v>
      </c>
      <c r="D685" t="s">
        <v>73</v>
      </c>
      <c r="E685" t="s">
        <v>1250</v>
      </c>
      <c r="F685" t="s">
        <v>1284</v>
      </c>
      <c r="G685" t="s">
        <v>60</v>
      </c>
      <c r="H685" t="s">
        <v>51</v>
      </c>
      <c r="I685">
        <v>7</v>
      </c>
      <c r="J685" s="24">
        <v>460.06</v>
      </c>
      <c r="K685" s="24">
        <f t="shared" si="20"/>
        <v>3220.42</v>
      </c>
      <c r="L685" s="24">
        <v>4617.38</v>
      </c>
      <c r="M685" s="2">
        <f t="shared" si="21"/>
        <v>1396.96</v>
      </c>
      <c r="N685" t="str">
        <v>High</v>
      </c>
      <c r="O685" t="s">
        <v>63</v>
      </c>
    </row>
    <row r="686" spans="1:15" x14ac:dyDescent="0.3">
      <c r="A686" t="s">
        <v>724</v>
      </c>
      <c r="B686" s="1">
        <v>45977</v>
      </c>
      <c r="C686" t="s">
        <v>1051</v>
      </c>
      <c r="D686" t="s">
        <v>72</v>
      </c>
      <c r="E686" t="s">
        <v>1242</v>
      </c>
      <c r="F686" t="s">
        <v>1280</v>
      </c>
      <c r="G686" t="s">
        <v>60</v>
      </c>
      <c r="H686" t="s">
        <v>52</v>
      </c>
      <c r="I686">
        <v>4</v>
      </c>
      <c r="J686" s="24">
        <v>87.07</v>
      </c>
      <c r="K686" s="24">
        <f t="shared" si="20"/>
        <v>348.28</v>
      </c>
      <c r="L686" s="24">
        <v>384.06</v>
      </c>
      <c r="M686" s="2">
        <f t="shared" si="21"/>
        <v>35.78000000000003</v>
      </c>
      <c r="N686" t="str">
        <v>Low</v>
      </c>
      <c r="O686" t="s">
        <v>63</v>
      </c>
    </row>
    <row r="687" spans="1:15" x14ac:dyDescent="0.3">
      <c r="A687" t="s">
        <v>725</v>
      </c>
      <c r="B687" s="1">
        <v>45978</v>
      </c>
      <c r="C687" t="s">
        <v>1122</v>
      </c>
      <c r="D687" t="s">
        <v>74</v>
      </c>
      <c r="E687" t="s">
        <v>1249</v>
      </c>
      <c r="F687" t="s">
        <v>1321</v>
      </c>
      <c r="G687" t="s">
        <v>60</v>
      </c>
      <c r="H687" t="s">
        <v>53</v>
      </c>
      <c r="I687">
        <v>7</v>
      </c>
      <c r="J687" s="24">
        <v>176.36</v>
      </c>
      <c r="K687" s="24">
        <f t="shared" si="20"/>
        <v>1234.52</v>
      </c>
      <c r="L687" s="24">
        <v>1733.19</v>
      </c>
      <c r="M687" s="2">
        <f t="shared" si="21"/>
        <v>498.67000000000007</v>
      </c>
      <c r="N687" t="str">
        <v>Low</v>
      </c>
      <c r="O687" t="s">
        <v>65</v>
      </c>
    </row>
    <row r="688" spans="1:15" x14ac:dyDescent="0.3">
      <c r="A688" t="s">
        <v>726</v>
      </c>
      <c r="B688" s="1">
        <v>45979</v>
      </c>
      <c r="C688" t="s">
        <v>1211</v>
      </c>
      <c r="D688" t="s">
        <v>72</v>
      </c>
      <c r="E688" t="s">
        <v>1245</v>
      </c>
      <c r="F688" t="s">
        <v>1263</v>
      </c>
      <c r="G688" t="s">
        <v>60</v>
      </c>
      <c r="H688" t="s">
        <v>52</v>
      </c>
      <c r="I688">
        <v>2</v>
      </c>
      <c r="J688" s="24">
        <v>251.71</v>
      </c>
      <c r="K688" s="24">
        <f t="shared" si="20"/>
        <v>503.42</v>
      </c>
      <c r="L688" s="24">
        <v>559.11</v>
      </c>
      <c r="M688" s="2">
        <f t="shared" si="21"/>
        <v>55.69</v>
      </c>
      <c r="N688" t="str">
        <v>Low</v>
      </c>
      <c r="O688" t="s">
        <v>65</v>
      </c>
    </row>
    <row r="689" spans="1:15" x14ac:dyDescent="0.3">
      <c r="A689" t="s">
        <v>727</v>
      </c>
      <c r="B689" s="1">
        <v>45980</v>
      </c>
      <c r="C689" t="s">
        <v>1210</v>
      </c>
      <c r="D689" t="s">
        <v>74</v>
      </c>
      <c r="E689" t="s">
        <v>1249</v>
      </c>
      <c r="F689" t="s">
        <v>1325</v>
      </c>
      <c r="G689" t="s">
        <v>60</v>
      </c>
      <c r="H689" t="s">
        <v>54</v>
      </c>
      <c r="I689">
        <v>9</v>
      </c>
      <c r="J689" s="24">
        <v>168.98</v>
      </c>
      <c r="K689" s="24">
        <f t="shared" si="20"/>
        <v>1520.82</v>
      </c>
      <c r="L689" s="24">
        <v>2086.44</v>
      </c>
      <c r="M689" s="2">
        <f t="shared" si="21"/>
        <v>565.62000000000012</v>
      </c>
      <c r="N689" t="str">
        <v>High</v>
      </c>
      <c r="O689" t="s">
        <v>64</v>
      </c>
    </row>
    <row r="690" spans="1:15" x14ac:dyDescent="0.3">
      <c r="A690" t="s">
        <v>728</v>
      </c>
      <c r="B690" s="1">
        <v>45981</v>
      </c>
      <c r="C690" t="s">
        <v>1204</v>
      </c>
      <c r="D690" t="s">
        <v>74</v>
      </c>
      <c r="E690" t="s">
        <v>1247</v>
      </c>
      <c r="F690" t="s">
        <v>1268</v>
      </c>
      <c r="G690" t="s">
        <v>60</v>
      </c>
      <c r="H690" t="s">
        <v>52</v>
      </c>
      <c r="I690">
        <v>7</v>
      </c>
      <c r="J690" s="24">
        <v>474.65</v>
      </c>
      <c r="K690" s="24">
        <f t="shared" si="20"/>
        <v>3322.5499999999997</v>
      </c>
      <c r="L690" s="24">
        <v>4496.08</v>
      </c>
      <c r="M690" s="2">
        <f t="shared" si="21"/>
        <v>1173.5300000000002</v>
      </c>
      <c r="N690" t="str">
        <v>High</v>
      </c>
      <c r="O690" t="s">
        <v>63</v>
      </c>
    </row>
    <row r="691" spans="1:15" x14ac:dyDescent="0.3">
      <c r="A691" t="s">
        <v>729</v>
      </c>
      <c r="B691" s="1">
        <v>45982</v>
      </c>
      <c r="C691" t="s">
        <v>1096</v>
      </c>
      <c r="D691" t="s">
        <v>72</v>
      </c>
      <c r="E691" t="s">
        <v>1246</v>
      </c>
      <c r="F691" t="s">
        <v>1267</v>
      </c>
      <c r="G691" t="s">
        <v>60</v>
      </c>
      <c r="H691" t="s">
        <v>54</v>
      </c>
      <c r="I691">
        <v>10</v>
      </c>
      <c r="J691" s="24">
        <v>485.57</v>
      </c>
      <c r="K691" s="24">
        <f t="shared" si="20"/>
        <v>4855.7</v>
      </c>
      <c r="L691" s="24">
        <v>5832.45</v>
      </c>
      <c r="M691" s="2">
        <f t="shared" si="21"/>
        <v>976.75</v>
      </c>
      <c r="N691" t="str">
        <v>High</v>
      </c>
      <c r="O691" t="s">
        <v>64</v>
      </c>
    </row>
    <row r="692" spans="1:15" x14ac:dyDescent="0.3">
      <c r="A692" t="s">
        <v>730</v>
      </c>
      <c r="B692" s="1">
        <v>45983</v>
      </c>
      <c r="C692" t="s">
        <v>1043</v>
      </c>
      <c r="D692" t="s">
        <v>72</v>
      </c>
      <c r="E692" t="s">
        <v>1246</v>
      </c>
      <c r="F692" t="s">
        <v>1267</v>
      </c>
      <c r="G692" t="s">
        <v>60</v>
      </c>
      <c r="H692" t="s">
        <v>51</v>
      </c>
      <c r="I692">
        <v>3</v>
      </c>
      <c r="J692" s="24">
        <v>33.96</v>
      </c>
      <c r="K692" s="24">
        <f t="shared" si="20"/>
        <v>101.88</v>
      </c>
      <c r="L692" s="24">
        <v>138.19999999999999</v>
      </c>
      <c r="M692" s="2">
        <f t="shared" si="21"/>
        <v>36.319999999999993</v>
      </c>
      <c r="N692" t="str">
        <v>Low</v>
      </c>
      <c r="O692" t="s">
        <v>63</v>
      </c>
    </row>
    <row r="693" spans="1:15" x14ac:dyDescent="0.3">
      <c r="A693" t="s">
        <v>731</v>
      </c>
      <c r="B693" s="1">
        <v>45984</v>
      </c>
      <c r="C693" t="s">
        <v>1226</v>
      </c>
      <c r="D693" t="s">
        <v>71</v>
      </c>
      <c r="E693" t="s">
        <v>1248</v>
      </c>
      <c r="F693" t="s">
        <v>1269</v>
      </c>
      <c r="G693" t="s">
        <v>60</v>
      </c>
      <c r="H693" t="s">
        <v>54</v>
      </c>
      <c r="I693">
        <v>1</v>
      </c>
      <c r="J693" s="24">
        <v>105.09</v>
      </c>
      <c r="K693" s="24">
        <f t="shared" si="20"/>
        <v>105.09</v>
      </c>
      <c r="L693" s="24">
        <v>131.38999999999999</v>
      </c>
      <c r="M693" s="2">
        <f t="shared" si="21"/>
        <v>26.299999999999983</v>
      </c>
      <c r="N693" t="str">
        <v>Low</v>
      </c>
      <c r="O693" t="s">
        <v>63</v>
      </c>
    </row>
    <row r="694" spans="1:15" x14ac:dyDescent="0.3">
      <c r="A694" t="s">
        <v>732</v>
      </c>
      <c r="B694" s="1">
        <v>45985</v>
      </c>
      <c r="C694" t="s">
        <v>1196</v>
      </c>
      <c r="D694" t="s">
        <v>74</v>
      </c>
      <c r="E694" t="s">
        <v>1249</v>
      </c>
      <c r="F694" t="s">
        <v>1324</v>
      </c>
      <c r="G694" t="s">
        <v>60</v>
      </c>
      <c r="H694" t="s">
        <v>52</v>
      </c>
      <c r="I694">
        <v>9</v>
      </c>
      <c r="J694" s="24">
        <v>433.53</v>
      </c>
      <c r="K694" s="24">
        <f t="shared" si="20"/>
        <v>3901.7699999999995</v>
      </c>
      <c r="L694" s="24">
        <v>5225.6000000000004</v>
      </c>
      <c r="M694" s="2">
        <f t="shared" si="21"/>
        <v>1323.8300000000008</v>
      </c>
      <c r="N694" t="str">
        <v>High</v>
      </c>
      <c r="O694" t="s">
        <v>65</v>
      </c>
    </row>
    <row r="695" spans="1:15" x14ac:dyDescent="0.3">
      <c r="A695" t="s">
        <v>733</v>
      </c>
      <c r="B695" s="1">
        <v>45986</v>
      </c>
      <c r="C695" t="s">
        <v>1056</v>
      </c>
      <c r="D695" t="s">
        <v>73</v>
      </c>
      <c r="E695" t="s">
        <v>1243</v>
      </c>
      <c r="F695" t="s">
        <v>1272</v>
      </c>
      <c r="G695" t="s">
        <v>60</v>
      </c>
      <c r="H695" t="s">
        <v>54</v>
      </c>
      <c r="I695">
        <v>5</v>
      </c>
      <c r="J695" s="24">
        <v>38.72</v>
      </c>
      <c r="K695" s="24">
        <f t="shared" si="20"/>
        <v>193.6</v>
      </c>
      <c r="L695" s="24">
        <v>248.08</v>
      </c>
      <c r="M695" s="2">
        <f t="shared" si="21"/>
        <v>54.480000000000018</v>
      </c>
      <c r="N695" t="str">
        <v>Low</v>
      </c>
      <c r="O695" t="s">
        <v>65</v>
      </c>
    </row>
    <row r="696" spans="1:15" x14ac:dyDescent="0.3">
      <c r="A696" t="s">
        <v>734</v>
      </c>
      <c r="B696" s="1">
        <v>45987</v>
      </c>
      <c r="C696" t="s">
        <v>1193</v>
      </c>
      <c r="D696" t="s">
        <v>72</v>
      </c>
      <c r="E696" t="s">
        <v>1246</v>
      </c>
      <c r="F696" t="s">
        <v>1282</v>
      </c>
      <c r="G696" t="s">
        <v>60</v>
      </c>
      <c r="H696" t="s">
        <v>52</v>
      </c>
      <c r="I696">
        <v>3</v>
      </c>
      <c r="J696" s="24">
        <v>111.61</v>
      </c>
      <c r="K696" s="24">
        <f t="shared" si="20"/>
        <v>334.83</v>
      </c>
      <c r="L696" s="24">
        <v>374.14</v>
      </c>
      <c r="M696" s="2">
        <f t="shared" si="21"/>
        <v>39.31</v>
      </c>
      <c r="N696" t="str">
        <v>Low</v>
      </c>
      <c r="O696" t="s">
        <v>63</v>
      </c>
    </row>
    <row r="697" spans="1:15" x14ac:dyDescent="0.3">
      <c r="A697" t="s">
        <v>735</v>
      </c>
      <c r="B697" s="1">
        <v>45988</v>
      </c>
      <c r="C697" t="s">
        <v>1091</v>
      </c>
      <c r="D697" t="s">
        <v>71</v>
      </c>
      <c r="E697" t="s">
        <v>1241</v>
      </c>
      <c r="F697" t="s">
        <v>1287</v>
      </c>
      <c r="G697" t="s">
        <v>60</v>
      </c>
      <c r="H697" t="s">
        <v>54</v>
      </c>
      <c r="I697">
        <v>2</v>
      </c>
      <c r="J697" s="24">
        <v>143.04</v>
      </c>
      <c r="K697" s="24">
        <f t="shared" si="20"/>
        <v>286.08</v>
      </c>
      <c r="L697" s="24">
        <v>412.27</v>
      </c>
      <c r="M697" s="2">
        <f t="shared" si="21"/>
        <v>126.19</v>
      </c>
      <c r="N697" t="str">
        <v>Low</v>
      </c>
      <c r="O697" t="s">
        <v>63</v>
      </c>
    </row>
    <row r="698" spans="1:15" x14ac:dyDescent="0.3">
      <c r="A698" t="s">
        <v>736</v>
      </c>
      <c r="B698" s="1">
        <v>45989</v>
      </c>
      <c r="C698" t="s">
        <v>1132</v>
      </c>
      <c r="D698" t="s">
        <v>73</v>
      </c>
      <c r="E698" t="s">
        <v>1252</v>
      </c>
      <c r="F698" t="s">
        <v>1289</v>
      </c>
      <c r="G698" t="s">
        <v>60</v>
      </c>
      <c r="H698" t="s">
        <v>51</v>
      </c>
      <c r="I698">
        <v>3</v>
      </c>
      <c r="J698" s="24">
        <v>465.51</v>
      </c>
      <c r="K698" s="24">
        <f t="shared" si="20"/>
        <v>1396.53</v>
      </c>
      <c r="L698" s="24">
        <v>2057.81</v>
      </c>
      <c r="M698" s="2">
        <f t="shared" si="21"/>
        <v>661.28</v>
      </c>
      <c r="N698" t="str">
        <v>High</v>
      </c>
      <c r="O698" t="s">
        <v>63</v>
      </c>
    </row>
    <row r="699" spans="1:15" x14ac:dyDescent="0.3">
      <c r="A699" t="s">
        <v>737</v>
      </c>
      <c r="B699" s="1">
        <v>45990</v>
      </c>
      <c r="C699" t="s">
        <v>1135</v>
      </c>
      <c r="D699" t="s">
        <v>73</v>
      </c>
      <c r="E699" t="s">
        <v>1243</v>
      </c>
      <c r="F699" t="s">
        <v>1306</v>
      </c>
      <c r="G699" t="s">
        <v>60</v>
      </c>
      <c r="H699" t="s">
        <v>51</v>
      </c>
      <c r="I699">
        <v>2</v>
      </c>
      <c r="J699" s="24">
        <v>382.35</v>
      </c>
      <c r="K699" s="24">
        <f t="shared" si="20"/>
        <v>764.7</v>
      </c>
      <c r="L699" s="24">
        <v>1122.6500000000001</v>
      </c>
      <c r="M699" s="2">
        <f t="shared" si="21"/>
        <v>357.95000000000005</v>
      </c>
      <c r="N699" t="str">
        <v>Low</v>
      </c>
      <c r="O699" t="s">
        <v>63</v>
      </c>
    </row>
    <row r="700" spans="1:15" x14ac:dyDescent="0.3">
      <c r="A700" t="s">
        <v>738</v>
      </c>
      <c r="B700" s="1">
        <v>45991</v>
      </c>
      <c r="C700" t="s">
        <v>1185</v>
      </c>
      <c r="D700" t="s">
        <v>72</v>
      </c>
      <c r="E700" t="s">
        <v>1246</v>
      </c>
      <c r="F700" t="s">
        <v>1286</v>
      </c>
      <c r="G700" t="s">
        <v>60</v>
      </c>
      <c r="H700" t="s">
        <v>53</v>
      </c>
      <c r="I700">
        <v>6</v>
      </c>
      <c r="J700" s="24">
        <v>291.27</v>
      </c>
      <c r="K700" s="24">
        <f t="shared" si="20"/>
        <v>1747.62</v>
      </c>
      <c r="L700" s="24">
        <v>2500.0300000000002</v>
      </c>
      <c r="M700" s="2">
        <f t="shared" si="21"/>
        <v>752.41000000000031</v>
      </c>
      <c r="N700" t="str">
        <v>High</v>
      </c>
      <c r="O700" t="s">
        <v>64</v>
      </c>
    </row>
    <row r="701" spans="1:15" x14ac:dyDescent="0.3">
      <c r="A701" t="s">
        <v>739</v>
      </c>
      <c r="B701" s="1">
        <v>45992</v>
      </c>
      <c r="C701" t="s">
        <v>1194</v>
      </c>
      <c r="D701" t="s">
        <v>73</v>
      </c>
      <c r="E701" t="s">
        <v>1252</v>
      </c>
      <c r="F701" t="s">
        <v>1297</v>
      </c>
      <c r="G701" t="s">
        <v>60</v>
      </c>
      <c r="H701" t="s">
        <v>51</v>
      </c>
      <c r="I701">
        <v>5</v>
      </c>
      <c r="J701" s="24">
        <v>247.12</v>
      </c>
      <c r="K701" s="24">
        <f t="shared" si="20"/>
        <v>1235.5999999999999</v>
      </c>
      <c r="L701" s="24">
        <v>1696.31</v>
      </c>
      <c r="M701" s="2">
        <f t="shared" si="21"/>
        <v>460.71000000000004</v>
      </c>
      <c r="N701" t="str">
        <v>Low</v>
      </c>
      <c r="O701" t="s">
        <v>63</v>
      </c>
    </row>
    <row r="702" spans="1:15" x14ac:dyDescent="0.3">
      <c r="A702" t="s">
        <v>740</v>
      </c>
      <c r="B702" s="1">
        <v>45993</v>
      </c>
      <c r="C702" t="s">
        <v>1231</v>
      </c>
      <c r="D702" t="s">
        <v>73</v>
      </c>
      <c r="E702" t="s">
        <v>1250</v>
      </c>
      <c r="F702" t="s">
        <v>1302</v>
      </c>
      <c r="G702" t="s">
        <v>60</v>
      </c>
      <c r="H702" t="s">
        <v>51</v>
      </c>
      <c r="I702">
        <v>8</v>
      </c>
      <c r="J702" s="24">
        <v>489.01</v>
      </c>
      <c r="K702" s="24">
        <f t="shared" si="20"/>
        <v>3912.08</v>
      </c>
      <c r="L702" s="24">
        <v>4418.7700000000004</v>
      </c>
      <c r="M702" s="2">
        <f t="shared" si="21"/>
        <v>506.69000000000051</v>
      </c>
      <c r="N702" t="str">
        <v>High</v>
      </c>
      <c r="O702" t="s">
        <v>63</v>
      </c>
    </row>
    <row r="703" spans="1:15" x14ac:dyDescent="0.3">
      <c r="A703" t="s">
        <v>741</v>
      </c>
      <c r="B703" s="1">
        <v>45994</v>
      </c>
      <c r="C703" t="s">
        <v>1089</v>
      </c>
      <c r="D703" t="s">
        <v>73</v>
      </c>
      <c r="E703" t="s">
        <v>1243</v>
      </c>
      <c r="F703" t="s">
        <v>1303</v>
      </c>
      <c r="G703" t="s">
        <v>60</v>
      </c>
      <c r="H703" t="s">
        <v>52</v>
      </c>
      <c r="I703">
        <v>3</v>
      </c>
      <c r="J703" s="24">
        <v>348.48</v>
      </c>
      <c r="K703" s="24">
        <f t="shared" si="20"/>
        <v>1045.44</v>
      </c>
      <c r="L703" s="24">
        <v>1267.42</v>
      </c>
      <c r="M703" s="2">
        <f t="shared" si="21"/>
        <v>221.98000000000002</v>
      </c>
      <c r="N703" t="str">
        <v>Low</v>
      </c>
      <c r="O703" t="s">
        <v>65</v>
      </c>
    </row>
    <row r="704" spans="1:15" x14ac:dyDescent="0.3">
      <c r="A704" t="s">
        <v>742</v>
      </c>
      <c r="B704" s="1">
        <v>45995</v>
      </c>
      <c r="C704" t="s">
        <v>1227</v>
      </c>
      <c r="D704" t="s">
        <v>72</v>
      </c>
      <c r="E704" t="s">
        <v>1253</v>
      </c>
      <c r="F704" t="s">
        <v>1331</v>
      </c>
      <c r="G704" t="s">
        <v>60</v>
      </c>
      <c r="H704" t="s">
        <v>53</v>
      </c>
      <c r="I704">
        <v>8</v>
      </c>
      <c r="J704" s="24">
        <v>465.5</v>
      </c>
      <c r="K704" s="24">
        <f t="shared" si="20"/>
        <v>3724</v>
      </c>
      <c r="L704" s="24">
        <v>5337.4</v>
      </c>
      <c r="M704" s="2">
        <f t="shared" si="21"/>
        <v>1613.3999999999996</v>
      </c>
      <c r="N704" t="str">
        <v>High</v>
      </c>
      <c r="O704" t="s">
        <v>63</v>
      </c>
    </row>
    <row r="705" spans="1:15" x14ac:dyDescent="0.3">
      <c r="A705" t="s">
        <v>743</v>
      </c>
      <c r="B705" s="1">
        <v>45996</v>
      </c>
      <c r="C705" t="s">
        <v>1063</v>
      </c>
      <c r="D705" t="s">
        <v>73</v>
      </c>
      <c r="E705" t="s">
        <v>1252</v>
      </c>
      <c r="F705" t="s">
        <v>1311</v>
      </c>
      <c r="G705" t="s">
        <v>60</v>
      </c>
      <c r="H705" t="s">
        <v>53</v>
      </c>
      <c r="I705">
        <v>9</v>
      </c>
      <c r="J705" s="24">
        <v>204.66</v>
      </c>
      <c r="K705" s="24">
        <f t="shared" si="20"/>
        <v>1841.94</v>
      </c>
      <c r="L705" s="24">
        <v>2574.04</v>
      </c>
      <c r="M705" s="2">
        <f t="shared" si="21"/>
        <v>732.09999999999991</v>
      </c>
      <c r="N705" t="str">
        <v>High</v>
      </c>
      <c r="O705" t="s">
        <v>63</v>
      </c>
    </row>
    <row r="706" spans="1:15" x14ac:dyDescent="0.3">
      <c r="A706" t="s">
        <v>744</v>
      </c>
      <c r="B706" s="1">
        <v>45997</v>
      </c>
      <c r="C706" t="s">
        <v>1120</v>
      </c>
      <c r="D706" t="s">
        <v>72</v>
      </c>
      <c r="E706" t="s">
        <v>1245</v>
      </c>
      <c r="F706" t="s">
        <v>1305</v>
      </c>
      <c r="G706" t="s">
        <v>60</v>
      </c>
      <c r="H706" t="s">
        <v>53</v>
      </c>
      <c r="I706">
        <v>9</v>
      </c>
      <c r="J706" s="24">
        <v>27.25</v>
      </c>
      <c r="K706" s="24">
        <f t="shared" si="20"/>
        <v>245.25</v>
      </c>
      <c r="L706" s="24">
        <v>300.14999999999998</v>
      </c>
      <c r="M706" s="2">
        <f t="shared" si="21"/>
        <v>54.899999999999977</v>
      </c>
      <c r="N706" t="str">
        <v>Low</v>
      </c>
      <c r="O706" t="s">
        <v>63</v>
      </c>
    </row>
    <row r="707" spans="1:15" x14ac:dyDescent="0.3">
      <c r="A707" t="s">
        <v>745</v>
      </c>
      <c r="B707" s="1">
        <v>45998</v>
      </c>
      <c r="C707" t="s">
        <v>1101</v>
      </c>
      <c r="D707" t="s">
        <v>71</v>
      </c>
      <c r="E707" t="s">
        <v>1254</v>
      </c>
      <c r="F707" t="s">
        <v>1304</v>
      </c>
      <c r="G707" t="s">
        <v>60</v>
      </c>
      <c r="H707" t="s">
        <v>51</v>
      </c>
      <c r="I707">
        <v>3</v>
      </c>
      <c r="J707" s="24">
        <v>306.41000000000003</v>
      </c>
      <c r="K707" s="24">
        <f t="shared" ref="K707:K770" si="22">J707*I707</f>
        <v>919.23</v>
      </c>
      <c r="L707" s="24">
        <v>1093.31</v>
      </c>
      <c r="M707" s="2">
        <f t="shared" ref="M707:M770" si="23">L707-K707</f>
        <v>174.07999999999993</v>
      </c>
      <c r="N707" t="str">
        <v>Low</v>
      </c>
      <c r="O707" t="s">
        <v>64</v>
      </c>
    </row>
    <row r="708" spans="1:15" x14ac:dyDescent="0.3">
      <c r="A708" t="s">
        <v>746</v>
      </c>
      <c r="B708" s="1">
        <v>45999</v>
      </c>
      <c r="C708" t="s">
        <v>1225</v>
      </c>
      <c r="D708" t="s">
        <v>74</v>
      </c>
      <c r="E708" t="s">
        <v>1249</v>
      </c>
      <c r="F708" t="s">
        <v>1325</v>
      </c>
      <c r="G708" t="s">
        <v>60</v>
      </c>
      <c r="H708" t="s">
        <v>51</v>
      </c>
      <c r="I708">
        <v>10</v>
      </c>
      <c r="J708" s="24">
        <v>128.22999999999999</v>
      </c>
      <c r="K708" s="24">
        <f t="shared" si="22"/>
        <v>1282.3</v>
      </c>
      <c r="L708" s="24">
        <v>1620.18</v>
      </c>
      <c r="M708" s="2">
        <f t="shared" si="23"/>
        <v>337.88000000000011</v>
      </c>
      <c r="N708" t="str">
        <v>Low</v>
      </c>
      <c r="O708" t="s">
        <v>65</v>
      </c>
    </row>
    <row r="709" spans="1:15" x14ac:dyDescent="0.3">
      <c r="A709" t="s">
        <v>747</v>
      </c>
      <c r="B709" s="1">
        <v>46000</v>
      </c>
      <c r="C709" t="s">
        <v>1087</v>
      </c>
      <c r="D709" t="s">
        <v>72</v>
      </c>
      <c r="E709" t="s">
        <v>1246</v>
      </c>
      <c r="F709" t="s">
        <v>1300</v>
      </c>
      <c r="G709" t="s">
        <v>60</v>
      </c>
      <c r="H709" t="s">
        <v>52</v>
      </c>
      <c r="I709">
        <v>3</v>
      </c>
      <c r="J709" s="24">
        <v>364.59</v>
      </c>
      <c r="K709" s="24">
        <f t="shared" si="22"/>
        <v>1093.77</v>
      </c>
      <c r="L709" s="24">
        <v>1302.18</v>
      </c>
      <c r="M709" s="2">
        <f t="shared" si="23"/>
        <v>208.41000000000008</v>
      </c>
      <c r="N709" t="str">
        <v>Low</v>
      </c>
      <c r="O709" t="s">
        <v>65</v>
      </c>
    </row>
    <row r="710" spans="1:15" x14ac:dyDescent="0.3">
      <c r="A710" t="s">
        <v>748</v>
      </c>
      <c r="B710" s="1">
        <v>46001</v>
      </c>
      <c r="C710" t="s">
        <v>1126</v>
      </c>
      <c r="D710" t="s">
        <v>71</v>
      </c>
      <c r="E710" t="s">
        <v>1248</v>
      </c>
      <c r="F710" t="s">
        <v>1271</v>
      </c>
      <c r="G710" t="s">
        <v>60</v>
      </c>
      <c r="H710" t="s">
        <v>53</v>
      </c>
      <c r="I710">
        <v>7</v>
      </c>
      <c r="J710" s="24">
        <v>171.51</v>
      </c>
      <c r="K710" s="24">
        <f t="shared" si="22"/>
        <v>1200.57</v>
      </c>
      <c r="L710" s="24">
        <v>1412.19</v>
      </c>
      <c r="M710" s="2">
        <f t="shared" si="23"/>
        <v>211.62000000000012</v>
      </c>
      <c r="N710" t="str">
        <v>Low</v>
      </c>
      <c r="O710" t="s">
        <v>63</v>
      </c>
    </row>
    <row r="711" spans="1:15" x14ac:dyDescent="0.3">
      <c r="A711" t="s">
        <v>749</v>
      </c>
      <c r="B711" s="1">
        <v>46002</v>
      </c>
      <c r="C711" t="s">
        <v>1225</v>
      </c>
      <c r="D711" t="s">
        <v>74</v>
      </c>
      <c r="E711" t="s">
        <v>1247</v>
      </c>
      <c r="F711" t="s">
        <v>1316</v>
      </c>
      <c r="G711" t="s">
        <v>60</v>
      </c>
      <c r="H711" t="s">
        <v>54</v>
      </c>
      <c r="I711">
        <v>10</v>
      </c>
      <c r="J711" s="24">
        <v>21.75</v>
      </c>
      <c r="K711" s="24">
        <f t="shared" si="22"/>
        <v>217.5</v>
      </c>
      <c r="L711" s="24">
        <v>288.3</v>
      </c>
      <c r="M711" s="2">
        <f t="shared" si="23"/>
        <v>70.800000000000011</v>
      </c>
      <c r="N711" t="str">
        <v>Low</v>
      </c>
      <c r="O711" t="s">
        <v>63</v>
      </c>
    </row>
    <row r="712" spans="1:15" x14ac:dyDescent="0.3">
      <c r="A712" t="s">
        <v>750</v>
      </c>
      <c r="B712" s="1">
        <v>46003</v>
      </c>
      <c r="C712" t="s">
        <v>1103</v>
      </c>
      <c r="D712" t="s">
        <v>72</v>
      </c>
      <c r="E712" t="s">
        <v>1242</v>
      </c>
      <c r="F712" t="s">
        <v>1332</v>
      </c>
      <c r="G712" t="s">
        <v>60</v>
      </c>
      <c r="H712" t="s">
        <v>53</v>
      </c>
      <c r="I712">
        <v>6</v>
      </c>
      <c r="J712" s="24">
        <v>250.23</v>
      </c>
      <c r="K712" s="24">
        <f t="shared" si="22"/>
        <v>1501.3799999999999</v>
      </c>
      <c r="L712" s="24">
        <v>1849.29</v>
      </c>
      <c r="M712" s="2">
        <f t="shared" si="23"/>
        <v>347.91000000000008</v>
      </c>
      <c r="N712" t="str">
        <v>Low</v>
      </c>
      <c r="O712" t="s">
        <v>65</v>
      </c>
    </row>
    <row r="713" spans="1:15" x14ac:dyDescent="0.3">
      <c r="A713" t="s">
        <v>751</v>
      </c>
      <c r="B713" s="1">
        <v>46004</v>
      </c>
      <c r="C713" t="s">
        <v>1218</v>
      </c>
      <c r="D713" t="s">
        <v>72</v>
      </c>
      <c r="E713" t="s">
        <v>1246</v>
      </c>
      <c r="F713" t="s">
        <v>1267</v>
      </c>
      <c r="G713" t="s">
        <v>60</v>
      </c>
      <c r="H713" t="s">
        <v>54</v>
      </c>
      <c r="I713">
        <v>6</v>
      </c>
      <c r="J713" s="24">
        <v>69.180000000000007</v>
      </c>
      <c r="K713" s="24">
        <f t="shared" si="22"/>
        <v>415.08000000000004</v>
      </c>
      <c r="L713" s="24">
        <v>520.70000000000005</v>
      </c>
      <c r="M713" s="2">
        <f t="shared" si="23"/>
        <v>105.62</v>
      </c>
      <c r="N713" t="str">
        <v>Low</v>
      </c>
      <c r="O713" t="s">
        <v>63</v>
      </c>
    </row>
    <row r="714" spans="1:15" x14ac:dyDescent="0.3">
      <c r="A714" t="s">
        <v>752</v>
      </c>
      <c r="B714" s="1">
        <v>46005</v>
      </c>
      <c r="C714" t="s">
        <v>1070</v>
      </c>
      <c r="D714" t="s">
        <v>74</v>
      </c>
      <c r="E714" t="s">
        <v>1247</v>
      </c>
      <c r="F714" t="s">
        <v>1283</v>
      </c>
      <c r="G714" t="s">
        <v>60</v>
      </c>
      <c r="H714" t="s">
        <v>51</v>
      </c>
      <c r="I714">
        <v>2</v>
      </c>
      <c r="J714" s="24">
        <v>495.79</v>
      </c>
      <c r="K714" s="24">
        <f t="shared" si="22"/>
        <v>991.58</v>
      </c>
      <c r="L714" s="24">
        <v>1436.65</v>
      </c>
      <c r="M714" s="2">
        <f t="shared" si="23"/>
        <v>445.07000000000005</v>
      </c>
      <c r="N714" t="str">
        <v>Low</v>
      </c>
      <c r="O714" t="s">
        <v>64</v>
      </c>
    </row>
    <row r="715" spans="1:15" x14ac:dyDescent="0.3">
      <c r="A715" t="s">
        <v>753</v>
      </c>
      <c r="B715" s="1">
        <v>46006</v>
      </c>
      <c r="C715" t="s">
        <v>1183</v>
      </c>
      <c r="D715" t="s">
        <v>73</v>
      </c>
      <c r="E715" t="s">
        <v>1250</v>
      </c>
      <c r="F715" t="s">
        <v>1302</v>
      </c>
      <c r="G715" t="s">
        <v>60</v>
      </c>
      <c r="H715" t="s">
        <v>53</v>
      </c>
      <c r="I715">
        <v>7</v>
      </c>
      <c r="J715" s="24">
        <v>250.91</v>
      </c>
      <c r="K715" s="24">
        <f t="shared" si="22"/>
        <v>1756.37</v>
      </c>
      <c r="L715" s="24">
        <v>2592.09</v>
      </c>
      <c r="M715" s="2">
        <f t="shared" si="23"/>
        <v>835.72000000000025</v>
      </c>
      <c r="N715" t="str">
        <v>High</v>
      </c>
      <c r="O715" t="s">
        <v>64</v>
      </c>
    </row>
    <row r="716" spans="1:15" x14ac:dyDescent="0.3">
      <c r="A716" t="s">
        <v>754</v>
      </c>
      <c r="B716" s="1">
        <v>46007</v>
      </c>
      <c r="C716" t="s">
        <v>1055</v>
      </c>
      <c r="D716" t="s">
        <v>72</v>
      </c>
      <c r="E716" t="s">
        <v>1253</v>
      </c>
      <c r="F716" t="s">
        <v>1331</v>
      </c>
      <c r="G716" t="s">
        <v>60</v>
      </c>
      <c r="H716" t="s">
        <v>53</v>
      </c>
      <c r="I716">
        <v>8</v>
      </c>
      <c r="J716" s="24">
        <v>187.02</v>
      </c>
      <c r="K716" s="24">
        <f t="shared" si="22"/>
        <v>1496.16</v>
      </c>
      <c r="L716" s="24">
        <v>2082.63</v>
      </c>
      <c r="M716" s="2">
        <f t="shared" si="23"/>
        <v>586.47</v>
      </c>
      <c r="N716" t="str">
        <v>High</v>
      </c>
      <c r="O716" t="s">
        <v>64</v>
      </c>
    </row>
    <row r="717" spans="1:15" x14ac:dyDescent="0.3">
      <c r="A717" t="s">
        <v>755</v>
      </c>
      <c r="B717" s="1">
        <v>46008</v>
      </c>
      <c r="C717" t="s">
        <v>1217</v>
      </c>
      <c r="D717" t="s">
        <v>71</v>
      </c>
      <c r="E717" t="s">
        <v>1248</v>
      </c>
      <c r="F717" t="s">
        <v>1329</v>
      </c>
      <c r="G717" t="s">
        <v>60</v>
      </c>
      <c r="H717" t="s">
        <v>51</v>
      </c>
      <c r="I717">
        <v>6</v>
      </c>
      <c r="J717" s="24">
        <v>340.29</v>
      </c>
      <c r="K717" s="24">
        <f t="shared" si="22"/>
        <v>2041.7400000000002</v>
      </c>
      <c r="L717" s="24">
        <v>2740.54</v>
      </c>
      <c r="M717" s="2">
        <f t="shared" si="23"/>
        <v>698.79999999999973</v>
      </c>
      <c r="N717" t="str">
        <v>High</v>
      </c>
      <c r="O717" t="s">
        <v>65</v>
      </c>
    </row>
    <row r="718" spans="1:15" x14ac:dyDescent="0.3">
      <c r="A718" t="s">
        <v>756</v>
      </c>
      <c r="B718" s="1">
        <v>46009</v>
      </c>
      <c r="C718" t="s">
        <v>1064</v>
      </c>
      <c r="D718" t="s">
        <v>73</v>
      </c>
      <c r="E718" t="s">
        <v>1252</v>
      </c>
      <c r="F718" t="s">
        <v>1289</v>
      </c>
      <c r="G718" t="s">
        <v>60</v>
      </c>
      <c r="H718" t="s">
        <v>53</v>
      </c>
      <c r="I718">
        <v>2</v>
      </c>
      <c r="J718" s="24">
        <v>383.95</v>
      </c>
      <c r="K718" s="24">
        <f t="shared" si="22"/>
        <v>767.9</v>
      </c>
      <c r="L718" s="24">
        <v>864.83</v>
      </c>
      <c r="M718" s="2">
        <f t="shared" si="23"/>
        <v>96.930000000000064</v>
      </c>
      <c r="N718" t="str">
        <v>Low</v>
      </c>
      <c r="O718" t="s">
        <v>64</v>
      </c>
    </row>
    <row r="719" spans="1:15" x14ac:dyDescent="0.3">
      <c r="A719" t="s">
        <v>757</v>
      </c>
      <c r="B719" s="1">
        <v>46010</v>
      </c>
      <c r="C719" t="s">
        <v>1116</v>
      </c>
      <c r="D719" t="s">
        <v>73</v>
      </c>
      <c r="E719" t="s">
        <v>1243</v>
      </c>
      <c r="F719" t="s">
        <v>1306</v>
      </c>
      <c r="G719" t="s">
        <v>60</v>
      </c>
      <c r="H719" t="s">
        <v>51</v>
      </c>
      <c r="I719">
        <v>3</v>
      </c>
      <c r="J719" s="24">
        <v>454.38</v>
      </c>
      <c r="K719" s="24">
        <f t="shared" si="22"/>
        <v>1363.1399999999999</v>
      </c>
      <c r="L719" s="24">
        <v>1615.25</v>
      </c>
      <c r="M719" s="2">
        <f t="shared" si="23"/>
        <v>252.11000000000013</v>
      </c>
      <c r="N719" t="str">
        <v>Low</v>
      </c>
      <c r="O719" t="s">
        <v>63</v>
      </c>
    </row>
    <row r="720" spans="1:15" x14ac:dyDescent="0.3">
      <c r="A720" t="s">
        <v>758</v>
      </c>
      <c r="B720" s="1">
        <v>46011</v>
      </c>
      <c r="C720" t="s">
        <v>1163</v>
      </c>
      <c r="D720" t="s">
        <v>71</v>
      </c>
      <c r="E720" t="s">
        <v>1240</v>
      </c>
      <c r="F720" t="s">
        <v>1260</v>
      </c>
      <c r="G720" t="s">
        <v>60</v>
      </c>
      <c r="H720" t="s">
        <v>52</v>
      </c>
      <c r="I720">
        <v>4</v>
      </c>
      <c r="J720" s="24">
        <v>119.28</v>
      </c>
      <c r="K720" s="24">
        <f t="shared" si="22"/>
        <v>477.12</v>
      </c>
      <c r="L720" s="24">
        <v>628.63</v>
      </c>
      <c r="M720" s="2">
        <f t="shared" si="23"/>
        <v>151.51</v>
      </c>
      <c r="N720" t="str">
        <v>Low</v>
      </c>
      <c r="O720" t="s">
        <v>64</v>
      </c>
    </row>
    <row r="721" spans="1:15" x14ac:dyDescent="0.3">
      <c r="A721" t="s">
        <v>759</v>
      </c>
      <c r="B721" s="1">
        <v>46012</v>
      </c>
      <c r="C721" t="s">
        <v>1172</v>
      </c>
      <c r="D721" t="s">
        <v>72</v>
      </c>
      <c r="E721" t="s">
        <v>1253</v>
      </c>
      <c r="F721" t="s">
        <v>1281</v>
      </c>
      <c r="G721" t="s">
        <v>60</v>
      </c>
      <c r="H721" t="s">
        <v>51</v>
      </c>
      <c r="I721">
        <v>7</v>
      </c>
      <c r="J721" s="24">
        <v>484.15</v>
      </c>
      <c r="K721" s="24">
        <f t="shared" si="22"/>
        <v>3389.0499999999997</v>
      </c>
      <c r="L721" s="24">
        <v>4834.38</v>
      </c>
      <c r="M721" s="2">
        <f t="shared" si="23"/>
        <v>1445.3300000000004</v>
      </c>
      <c r="N721" t="str">
        <v>High</v>
      </c>
      <c r="O721" t="s">
        <v>65</v>
      </c>
    </row>
    <row r="722" spans="1:15" x14ac:dyDescent="0.3">
      <c r="A722" t="s">
        <v>760</v>
      </c>
      <c r="B722" s="1">
        <v>46013</v>
      </c>
      <c r="C722" t="s">
        <v>1149</v>
      </c>
      <c r="D722" t="s">
        <v>71</v>
      </c>
      <c r="E722" t="s">
        <v>1241</v>
      </c>
      <c r="F722" t="s">
        <v>1287</v>
      </c>
      <c r="G722" t="s">
        <v>60</v>
      </c>
      <c r="H722" t="s">
        <v>51</v>
      </c>
      <c r="I722">
        <v>9</v>
      </c>
      <c r="J722" s="24">
        <v>423.73</v>
      </c>
      <c r="K722" s="24">
        <f t="shared" si="22"/>
        <v>3813.57</v>
      </c>
      <c r="L722" s="24">
        <v>4398.53</v>
      </c>
      <c r="M722" s="2">
        <f t="shared" si="23"/>
        <v>584.95999999999958</v>
      </c>
      <c r="N722" t="str">
        <v>High</v>
      </c>
      <c r="O722" t="s">
        <v>63</v>
      </c>
    </row>
    <row r="723" spans="1:15" x14ac:dyDescent="0.3">
      <c r="A723" t="s">
        <v>761</v>
      </c>
      <c r="B723" s="1">
        <v>46014</v>
      </c>
      <c r="C723" t="s">
        <v>1072</v>
      </c>
      <c r="D723" t="s">
        <v>74</v>
      </c>
      <c r="E723" t="s">
        <v>1249</v>
      </c>
      <c r="F723" t="s">
        <v>1321</v>
      </c>
      <c r="G723" t="s">
        <v>60</v>
      </c>
      <c r="H723" t="s">
        <v>52</v>
      </c>
      <c r="I723">
        <v>6</v>
      </c>
      <c r="J723" s="24">
        <v>146.27000000000001</v>
      </c>
      <c r="K723" s="24">
        <f t="shared" si="22"/>
        <v>877.62000000000012</v>
      </c>
      <c r="L723" s="24">
        <v>1127.9000000000001</v>
      </c>
      <c r="M723" s="2">
        <f t="shared" si="23"/>
        <v>250.27999999999997</v>
      </c>
      <c r="N723" t="str">
        <v>Low</v>
      </c>
      <c r="O723" t="s">
        <v>64</v>
      </c>
    </row>
    <row r="724" spans="1:15" x14ac:dyDescent="0.3">
      <c r="A724" t="s">
        <v>762</v>
      </c>
      <c r="B724" s="1">
        <v>46015</v>
      </c>
      <c r="C724" t="s">
        <v>1101</v>
      </c>
      <c r="D724" t="s">
        <v>73</v>
      </c>
      <c r="E724" t="s">
        <v>1243</v>
      </c>
      <c r="F724" t="s">
        <v>1261</v>
      </c>
      <c r="G724" t="s">
        <v>60</v>
      </c>
      <c r="H724" t="s">
        <v>53</v>
      </c>
      <c r="I724">
        <v>9</v>
      </c>
      <c r="J724" s="24">
        <v>490.26</v>
      </c>
      <c r="K724" s="24">
        <f t="shared" si="22"/>
        <v>4412.34</v>
      </c>
      <c r="L724" s="24">
        <v>5114.09</v>
      </c>
      <c r="M724" s="2">
        <f t="shared" si="23"/>
        <v>701.75</v>
      </c>
      <c r="N724" t="str">
        <v>High</v>
      </c>
      <c r="O724" t="s">
        <v>65</v>
      </c>
    </row>
    <row r="725" spans="1:15" x14ac:dyDescent="0.3">
      <c r="A725" t="s">
        <v>763</v>
      </c>
      <c r="B725" s="1">
        <v>46016</v>
      </c>
      <c r="C725" t="s">
        <v>1137</v>
      </c>
      <c r="D725" t="s">
        <v>74</v>
      </c>
      <c r="E725" t="s">
        <v>1249</v>
      </c>
      <c r="F725" t="s">
        <v>1321</v>
      </c>
      <c r="G725" t="s">
        <v>60</v>
      </c>
      <c r="H725" t="s">
        <v>51</v>
      </c>
      <c r="I725">
        <v>6</v>
      </c>
      <c r="J725" s="24">
        <v>79.430000000000007</v>
      </c>
      <c r="K725" s="24">
        <f t="shared" si="22"/>
        <v>476.58000000000004</v>
      </c>
      <c r="L725" s="24">
        <v>557.84</v>
      </c>
      <c r="M725" s="2">
        <f t="shared" si="23"/>
        <v>81.259999999999991</v>
      </c>
      <c r="N725" t="str">
        <v>Low</v>
      </c>
      <c r="O725" t="s">
        <v>65</v>
      </c>
    </row>
    <row r="726" spans="1:15" x14ac:dyDescent="0.3">
      <c r="A726" t="s">
        <v>764</v>
      </c>
      <c r="B726" s="1">
        <v>46017</v>
      </c>
      <c r="C726" t="s">
        <v>1190</v>
      </c>
      <c r="D726" t="s">
        <v>71</v>
      </c>
      <c r="E726" t="s">
        <v>1251</v>
      </c>
      <c r="F726" t="s">
        <v>1315</v>
      </c>
      <c r="G726" t="s">
        <v>60</v>
      </c>
      <c r="H726" t="s">
        <v>53</v>
      </c>
      <c r="I726">
        <v>5</v>
      </c>
      <c r="J726" s="24">
        <v>79.2</v>
      </c>
      <c r="K726" s="24">
        <f t="shared" si="22"/>
        <v>396</v>
      </c>
      <c r="L726" s="24">
        <v>512.11</v>
      </c>
      <c r="M726" s="2">
        <f t="shared" si="23"/>
        <v>116.11000000000001</v>
      </c>
      <c r="N726" t="str">
        <v>Low</v>
      </c>
      <c r="O726" t="s">
        <v>64</v>
      </c>
    </row>
    <row r="727" spans="1:15" x14ac:dyDescent="0.3">
      <c r="A727" t="s">
        <v>765</v>
      </c>
      <c r="B727" s="1">
        <v>46018</v>
      </c>
      <c r="C727" t="s">
        <v>1139</v>
      </c>
      <c r="D727" t="s">
        <v>74</v>
      </c>
      <c r="E727" t="s">
        <v>1249</v>
      </c>
      <c r="F727" t="s">
        <v>1308</v>
      </c>
      <c r="G727" t="s">
        <v>60</v>
      </c>
      <c r="H727" t="s">
        <v>54</v>
      </c>
      <c r="I727">
        <v>9</v>
      </c>
      <c r="J727" s="24">
        <v>452.93</v>
      </c>
      <c r="K727" s="24">
        <f t="shared" si="22"/>
        <v>4076.37</v>
      </c>
      <c r="L727" s="24">
        <v>4904.09</v>
      </c>
      <c r="M727" s="2">
        <f t="shared" si="23"/>
        <v>827.72000000000025</v>
      </c>
      <c r="N727" t="str">
        <v>High</v>
      </c>
      <c r="O727" t="s">
        <v>65</v>
      </c>
    </row>
    <row r="728" spans="1:15" x14ac:dyDescent="0.3">
      <c r="A728" t="s">
        <v>766</v>
      </c>
      <c r="B728" s="1">
        <v>46019</v>
      </c>
      <c r="C728" t="s">
        <v>1201</v>
      </c>
      <c r="D728" t="s">
        <v>73</v>
      </c>
      <c r="E728" t="s">
        <v>1243</v>
      </c>
      <c r="F728" t="s">
        <v>1306</v>
      </c>
      <c r="G728" t="s">
        <v>60</v>
      </c>
      <c r="H728" t="s">
        <v>54</v>
      </c>
      <c r="I728">
        <v>1</v>
      </c>
      <c r="J728" s="24">
        <v>427.92</v>
      </c>
      <c r="K728" s="24">
        <f t="shared" si="22"/>
        <v>427.92</v>
      </c>
      <c r="L728" s="24">
        <v>496.26</v>
      </c>
      <c r="M728" s="2">
        <f t="shared" si="23"/>
        <v>68.339999999999975</v>
      </c>
      <c r="N728" t="str">
        <v>Low</v>
      </c>
      <c r="O728" t="s">
        <v>64</v>
      </c>
    </row>
    <row r="729" spans="1:15" x14ac:dyDescent="0.3">
      <c r="A729" t="s">
        <v>767</v>
      </c>
      <c r="B729" s="1">
        <v>46020</v>
      </c>
      <c r="C729" t="s">
        <v>1054</v>
      </c>
      <c r="D729" t="s">
        <v>72</v>
      </c>
      <c r="E729" t="s">
        <v>1253</v>
      </c>
      <c r="F729" t="s">
        <v>1281</v>
      </c>
      <c r="G729" t="s">
        <v>60</v>
      </c>
      <c r="H729" t="s">
        <v>51</v>
      </c>
      <c r="I729">
        <v>7</v>
      </c>
      <c r="J729" s="24">
        <v>198.52</v>
      </c>
      <c r="K729" s="24">
        <f t="shared" si="22"/>
        <v>1389.64</v>
      </c>
      <c r="L729" s="24">
        <v>1930.12</v>
      </c>
      <c r="M729" s="2">
        <f t="shared" si="23"/>
        <v>540.47999999999979</v>
      </c>
      <c r="N729" t="str">
        <v>Low</v>
      </c>
      <c r="O729" t="s">
        <v>64</v>
      </c>
    </row>
    <row r="730" spans="1:15" x14ac:dyDescent="0.3">
      <c r="A730" t="s">
        <v>768</v>
      </c>
      <c r="B730" s="1">
        <v>46021</v>
      </c>
      <c r="C730" t="s">
        <v>1179</v>
      </c>
      <c r="D730" t="s">
        <v>74</v>
      </c>
      <c r="E730" t="s">
        <v>1249</v>
      </c>
      <c r="F730" t="s">
        <v>1308</v>
      </c>
      <c r="G730" t="s">
        <v>60</v>
      </c>
      <c r="H730" t="s">
        <v>52</v>
      </c>
      <c r="I730">
        <v>2</v>
      </c>
      <c r="J730" s="24">
        <v>313.18</v>
      </c>
      <c r="K730" s="24">
        <f t="shared" si="22"/>
        <v>626.36</v>
      </c>
      <c r="L730" s="24">
        <v>904.9</v>
      </c>
      <c r="M730" s="2">
        <f t="shared" si="23"/>
        <v>278.53999999999996</v>
      </c>
      <c r="N730" t="str">
        <v>Low</v>
      </c>
      <c r="O730" t="s">
        <v>63</v>
      </c>
    </row>
    <row r="731" spans="1:15" x14ac:dyDescent="0.3">
      <c r="A731" t="s">
        <v>769</v>
      </c>
      <c r="B731" s="1">
        <v>46022</v>
      </c>
      <c r="C731" t="s">
        <v>1223</v>
      </c>
      <c r="D731" t="s">
        <v>73</v>
      </c>
      <c r="E731" t="s">
        <v>1243</v>
      </c>
      <c r="F731" t="s">
        <v>1272</v>
      </c>
      <c r="G731" t="s">
        <v>60</v>
      </c>
      <c r="H731" t="s">
        <v>51</v>
      </c>
      <c r="I731">
        <v>1</v>
      </c>
      <c r="J731" s="24">
        <v>27.38</v>
      </c>
      <c r="K731" s="24">
        <f t="shared" si="22"/>
        <v>27.38</v>
      </c>
      <c r="L731" s="24">
        <v>33.07</v>
      </c>
      <c r="M731" s="2">
        <f t="shared" si="23"/>
        <v>5.6900000000000013</v>
      </c>
      <c r="N731" t="str">
        <v>Low</v>
      </c>
      <c r="O731" t="s">
        <v>65</v>
      </c>
    </row>
    <row r="732" spans="1:15" x14ac:dyDescent="0.3">
      <c r="A732" t="s">
        <v>770</v>
      </c>
      <c r="B732" s="1">
        <v>46023</v>
      </c>
      <c r="C732" t="s">
        <v>1127</v>
      </c>
      <c r="D732" t="s">
        <v>73</v>
      </c>
      <c r="E732" t="s">
        <v>1250</v>
      </c>
      <c r="F732" t="s">
        <v>1319</v>
      </c>
      <c r="G732" t="s">
        <v>60</v>
      </c>
      <c r="H732" t="s">
        <v>52</v>
      </c>
      <c r="I732">
        <v>9</v>
      </c>
      <c r="J732" s="24">
        <v>210.66</v>
      </c>
      <c r="K732" s="24">
        <f t="shared" si="22"/>
        <v>1895.94</v>
      </c>
      <c r="L732" s="24">
        <v>2521.34</v>
      </c>
      <c r="M732" s="2">
        <f t="shared" si="23"/>
        <v>625.40000000000009</v>
      </c>
      <c r="N732" t="str">
        <v>High</v>
      </c>
      <c r="O732" t="s">
        <v>63</v>
      </c>
    </row>
    <row r="733" spans="1:15" x14ac:dyDescent="0.3">
      <c r="A733" t="s">
        <v>771</v>
      </c>
      <c r="B733" s="1">
        <v>46024</v>
      </c>
      <c r="C733" t="s">
        <v>1079</v>
      </c>
      <c r="D733" t="s">
        <v>73</v>
      </c>
      <c r="E733" t="s">
        <v>1250</v>
      </c>
      <c r="F733" t="s">
        <v>1302</v>
      </c>
      <c r="G733" t="s">
        <v>60</v>
      </c>
      <c r="H733" t="s">
        <v>51</v>
      </c>
      <c r="I733">
        <v>6</v>
      </c>
      <c r="J733" s="24">
        <v>137.61000000000001</v>
      </c>
      <c r="K733" s="24">
        <f t="shared" si="22"/>
        <v>825.66000000000008</v>
      </c>
      <c r="L733" s="24">
        <v>1022.15</v>
      </c>
      <c r="M733" s="2">
        <f t="shared" si="23"/>
        <v>196.4899999999999</v>
      </c>
      <c r="N733" t="str">
        <v>Low</v>
      </c>
      <c r="O733" t="s">
        <v>64</v>
      </c>
    </row>
    <row r="734" spans="1:15" x14ac:dyDescent="0.3">
      <c r="A734" t="s">
        <v>772</v>
      </c>
      <c r="B734" s="1">
        <v>46025</v>
      </c>
      <c r="C734" t="s">
        <v>1188</v>
      </c>
      <c r="D734" t="s">
        <v>74</v>
      </c>
      <c r="E734" t="s">
        <v>1247</v>
      </c>
      <c r="F734" t="s">
        <v>1327</v>
      </c>
      <c r="G734" t="s">
        <v>60</v>
      </c>
      <c r="H734" t="s">
        <v>51</v>
      </c>
      <c r="I734">
        <v>2</v>
      </c>
      <c r="J734" s="24">
        <v>195.58</v>
      </c>
      <c r="K734" s="24">
        <f t="shared" si="22"/>
        <v>391.16</v>
      </c>
      <c r="L734" s="24">
        <v>524.52</v>
      </c>
      <c r="M734" s="2">
        <f t="shared" si="23"/>
        <v>133.35999999999996</v>
      </c>
      <c r="N734" t="str">
        <v>Low</v>
      </c>
      <c r="O734" t="s">
        <v>63</v>
      </c>
    </row>
    <row r="735" spans="1:15" x14ac:dyDescent="0.3">
      <c r="A735" t="s">
        <v>773</v>
      </c>
      <c r="B735" s="1">
        <v>46026</v>
      </c>
      <c r="C735" t="s">
        <v>1180</v>
      </c>
      <c r="D735" t="s">
        <v>71</v>
      </c>
      <c r="E735" t="s">
        <v>1248</v>
      </c>
      <c r="F735" t="s">
        <v>1301</v>
      </c>
      <c r="G735" t="s">
        <v>60</v>
      </c>
      <c r="H735" t="s">
        <v>52</v>
      </c>
      <c r="I735">
        <v>1</v>
      </c>
      <c r="J735" s="24">
        <v>348.56</v>
      </c>
      <c r="K735" s="24">
        <f t="shared" si="22"/>
        <v>348.56</v>
      </c>
      <c r="L735" s="24">
        <v>479.06</v>
      </c>
      <c r="M735" s="2">
        <f t="shared" si="23"/>
        <v>130.5</v>
      </c>
      <c r="N735" t="str">
        <v>Low</v>
      </c>
      <c r="O735" t="s">
        <v>65</v>
      </c>
    </row>
    <row r="736" spans="1:15" x14ac:dyDescent="0.3">
      <c r="A736" t="s">
        <v>774</v>
      </c>
      <c r="B736" s="1">
        <v>46027</v>
      </c>
      <c r="C736" t="s">
        <v>1165</v>
      </c>
      <c r="D736" t="s">
        <v>72</v>
      </c>
      <c r="E736" t="s">
        <v>1245</v>
      </c>
      <c r="F736" t="s">
        <v>1263</v>
      </c>
      <c r="G736" t="s">
        <v>60</v>
      </c>
      <c r="H736" t="s">
        <v>54</v>
      </c>
      <c r="I736">
        <v>5</v>
      </c>
      <c r="J736" s="24">
        <v>96.87</v>
      </c>
      <c r="K736" s="24">
        <f t="shared" si="22"/>
        <v>484.35</v>
      </c>
      <c r="L736" s="24">
        <v>695.36</v>
      </c>
      <c r="M736" s="2">
        <f t="shared" si="23"/>
        <v>211.01</v>
      </c>
      <c r="N736" t="str">
        <v>Low</v>
      </c>
      <c r="O736" t="s">
        <v>65</v>
      </c>
    </row>
    <row r="737" spans="1:15" x14ac:dyDescent="0.3">
      <c r="A737" t="s">
        <v>775</v>
      </c>
      <c r="B737" s="1">
        <v>46028</v>
      </c>
      <c r="C737" t="s">
        <v>1219</v>
      </c>
      <c r="D737" t="s">
        <v>74</v>
      </c>
      <c r="E737" t="s">
        <v>1249</v>
      </c>
      <c r="F737" t="s">
        <v>1270</v>
      </c>
      <c r="G737" t="s">
        <v>60</v>
      </c>
      <c r="H737" t="s">
        <v>53</v>
      </c>
      <c r="I737">
        <v>6</v>
      </c>
      <c r="J737" s="24">
        <v>263.52</v>
      </c>
      <c r="K737" s="24">
        <f t="shared" si="22"/>
        <v>1581.12</v>
      </c>
      <c r="L737" s="24">
        <v>1948.11</v>
      </c>
      <c r="M737" s="2">
        <f t="shared" si="23"/>
        <v>366.99</v>
      </c>
      <c r="N737" t="str">
        <v>Low</v>
      </c>
      <c r="O737" t="s">
        <v>63</v>
      </c>
    </row>
    <row r="738" spans="1:15" x14ac:dyDescent="0.3">
      <c r="A738" t="s">
        <v>776</v>
      </c>
      <c r="B738" s="1">
        <v>46029</v>
      </c>
      <c r="C738" t="s">
        <v>1175</v>
      </c>
      <c r="D738" t="s">
        <v>73</v>
      </c>
      <c r="E738" t="s">
        <v>1243</v>
      </c>
      <c r="F738" t="s">
        <v>1306</v>
      </c>
      <c r="G738" t="s">
        <v>60</v>
      </c>
      <c r="H738" t="s">
        <v>53</v>
      </c>
      <c r="I738">
        <v>6</v>
      </c>
      <c r="J738" s="24">
        <v>185.43</v>
      </c>
      <c r="K738" s="24">
        <f t="shared" si="22"/>
        <v>1112.58</v>
      </c>
      <c r="L738" s="24">
        <v>1629.3</v>
      </c>
      <c r="M738" s="2">
        <f t="shared" si="23"/>
        <v>516.72</v>
      </c>
      <c r="N738" t="str">
        <v>Low</v>
      </c>
      <c r="O738" t="s">
        <v>64</v>
      </c>
    </row>
    <row r="739" spans="1:15" x14ac:dyDescent="0.3">
      <c r="A739" t="s">
        <v>777</v>
      </c>
      <c r="B739" s="1">
        <v>46030</v>
      </c>
      <c r="C739" t="s">
        <v>1130</v>
      </c>
      <c r="D739" t="s">
        <v>71</v>
      </c>
      <c r="E739" t="s">
        <v>1240</v>
      </c>
      <c r="F739" t="s">
        <v>1260</v>
      </c>
      <c r="G739" t="s">
        <v>60</v>
      </c>
      <c r="H739" t="s">
        <v>53</v>
      </c>
      <c r="I739">
        <v>3</v>
      </c>
      <c r="J739" s="24">
        <v>23.94</v>
      </c>
      <c r="K739" s="24">
        <f t="shared" si="22"/>
        <v>71.820000000000007</v>
      </c>
      <c r="L739" s="24">
        <v>89.68</v>
      </c>
      <c r="M739" s="2">
        <f t="shared" si="23"/>
        <v>17.86</v>
      </c>
      <c r="N739" t="str">
        <v>Low</v>
      </c>
      <c r="O739" t="s">
        <v>63</v>
      </c>
    </row>
    <row r="740" spans="1:15" x14ac:dyDescent="0.3">
      <c r="A740" t="s">
        <v>778</v>
      </c>
      <c r="B740" s="1">
        <v>46031</v>
      </c>
      <c r="C740" t="s">
        <v>1055</v>
      </c>
      <c r="D740" t="s">
        <v>73</v>
      </c>
      <c r="E740" t="s">
        <v>1252</v>
      </c>
      <c r="F740" t="s">
        <v>1289</v>
      </c>
      <c r="G740" t="s">
        <v>60</v>
      </c>
      <c r="H740" t="s">
        <v>51</v>
      </c>
      <c r="I740">
        <v>8</v>
      </c>
      <c r="J740" s="24">
        <v>287.36</v>
      </c>
      <c r="K740" s="24">
        <f t="shared" si="22"/>
        <v>2298.88</v>
      </c>
      <c r="L740" s="24">
        <v>3332.45</v>
      </c>
      <c r="M740" s="2">
        <f t="shared" si="23"/>
        <v>1033.5699999999997</v>
      </c>
      <c r="N740" t="str">
        <v>High</v>
      </c>
      <c r="O740" t="s">
        <v>65</v>
      </c>
    </row>
    <row r="741" spans="1:15" x14ac:dyDescent="0.3">
      <c r="A741" t="s">
        <v>779</v>
      </c>
      <c r="B741" s="1">
        <v>46032</v>
      </c>
      <c r="C741" t="s">
        <v>1185</v>
      </c>
      <c r="D741" t="s">
        <v>74</v>
      </c>
      <c r="E741" t="s">
        <v>1249</v>
      </c>
      <c r="F741" t="s">
        <v>1308</v>
      </c>
      <c r="G741" t="s">
        <v>60</v>
      </c>
      <c r="H741" t="s">
        <v>52</v>
      </c>
      <c r="I741">
        <v>5</v>
      </c>
      <c r="J741" s="24">
        <v>223.25</v>
      </c>
      <c r="K741" s="24">
        <f t="shared" si="22"/>
        <v>1116.25</v>
      </c>
      <c r="L741" s="24">
        <v>1472.27</v>
      </c>
      <c r="M741" s="2">
        <f t="shared" si="23"/>
        <v>356.02</v>
      </c>
      <c r="N741" t="str">
        <v>Low</v>
      </c>
      <c r="O741" t="s">
        <v>65</v>
      </c>
    </row>
    <row r="742" spans="1:15" x14ac:dyDescent="0.3">
      <c r="A742" t="s">
        <v>780</v>
      </c>
      <c r="B742" s="1">
        <v>46033</v>
      </c>
      <c r="C742" t="s">
        <v>1127</v>
      </c>
      <c r="D742" t="s">
        <v>72</v>
      </c>
      <c r="E742" t="s">
        <v>1253</v>
      </c>
      <c r="F742" t="s">
        <v>1318</v>
      </c>
      <c r="G742" t="s">
        <v>60</v>
      </c>
      <c r="H742" t="s">
        <v>52</v>
      </c>
      <c r="I742">
        <v>10</v>
      </c>
      <c r="J742" s="24">
        <v>291.66000000000003</v>
      </c>
      <c r="K742" s="24">
        <f t="shared" si="22"/>
        <v>2916.6000000000004</v>
      </c>
      <c r="L742" s="24">
        <v>3573.87</v>
      </c>
      <c r="M742" s="2">
        <f t="shared" si="23"/>
        <v>657.26999999999953</v>
      </c>
      <c r="N742" t="str">
        <v>High</v>
      </c>
      <c r="O742" t="s">
        <v>64</v>
      </c>
    </row>
    <row r="743" spans="1:15" x14ac:dyDescent="0.3">
      <c r="A743" t="s">
        <v>781</v>
      </c>
      <c r="B743" s="1">
        <v>46034</v>
      </c>
      <c r="C743" t="s">
        <v>1120</v>
      </c>
      <c r="D743" t="s">
        <v>74</v>
      </c>
      <c r="E743" t="s">
        <v>1247</v>
      </c>
      <c r="F743" t="s">
        <v>1327</v>
      </c>
      <c r="G743" t="s">
        <v>60</v>
      </c>
      <c r="H743" t="s">
        <v>52</v>
      </c>
      <c r="I743">
        <v>2</v>
      </c>
      <c r="J743" s="24">
        <v>194.99</v>
      </c>
      <c r="K743" s="24">
        <f t="shared" si="22"/>
        <v>389.98</v>
      </c>
      <c r="L743" s="24">
        <v>491.23</v>
      </c>
      <c r="M743" s="2">
        <f t="shared" si="23"/>
        <v>101.25</v>
      </c>
      <c r="N743" t="str">
        <v>Low</v>
      </c>
      <c r="O743" t="s">
        <v>64</v>
      </c>
    </row>
    <row r="744" spans="1:15" x14ac:dyDescent="0.3">
      <c r="A744" t="s">
        <v>782</v>
      </c>
      <c r="B744" s="1">
        <v>46035</v>
      </c>
      <c r="C744" t="s">
        <v>1129</v>
      </c>
      <c r="D744" t="s">
        <v>74</v>
      </c>
      <c r="E744" t="s">
        <v>1247</v>
      </c>
      <c r="F744" t="s">
        <v>1268</v>
      </c>
      <c r="G744" t="s">
        <v>60</v>
      </c>
      <c r="H744" t="s">
        <v>52</v>
      </c>
      <c r="I744">
        <v>8</v>
      </c>
      <c r="J744" s="24">
        <v>402.23</v>
      </c>
      <c r="K744" s="24">
        <f t="shared" si="22"/>
        <v>3217.84</v>
      </c>
      <c r="L744" s="24">
        <v>4548.24</v>
      </c>
      <c r="M744" s="2">
        <f t="shared" si="23"/>
        <v>1330.3999999999996</v>
      </c>
      <c r="N744" t="str">
        <v>High</v>
      </c>
      <c r="O744" t="s">
        <v>63</v>
      </c>
    </row>
    <row r="745" spans="1:15" x14ac:dyDescent="0.3">
      <c r="A745" t="s">
        <v>783</v>
      </c>
      <c r="B745" s="1">
        <v>46036</v>
      </c>
      <c r="C745" t="s">
        <v>1176</v>
      </c>
      <c r="D745" t="s">
        <v>73</v>
      </c>
      <c r="E745" t="s">
        <v>1252</v>
      </c>
      <c r="F745" t="s">
        <v>1311</v>
      </c>
      <c r="G745" t="s">
        <v>60</v>
      </c>
      <c r="H745" t="s">
        <v>53</v>
      </c>
      <c r="I745">
        <v>4</v>
      </c>
      <c r="J745" s="24">
        <v>201.05</v>
      </c>
      <c r="K745" s="24">
        <f t="shared" si="22"/>
        <v>804.2</v>
      </c>
      <c r="L745" s="24">
        <v>1024.3599999999999</v>
      </c>
      <c r="M745" s="2">
        <f t="shared" si="23"/>
        <v>220.15999999999985</v>
      </c>
      <c r="N745" t="str">
        <v>Low</v>
      </c>
      <c r="O745" t="s">
        <v>64</v>
      </c>
    </row>
    <row r="746" spans="1:15" x14ac:dyDescent="0.3">
      <c r="A746" t="s">
        <v>784</v>
      </c>
      <c r="B746" s="1">
        <v>46037</v>
      </c>
      <c r="C746" t="s">
        <v>1061</v>
      </c>
      <c r="D746" t="s">
        <v>73</v>
      </c>
      <c r="E746" t="s">
        <v>1250</v>
      </c>
      <c r="F746" t="s">
        <v>1284</v>
      </c>
      <c r="G746" t="s">
        <v>60</v>
      </c>
      <c r="H746" t="s">
        <v>52</v>
      </c>
      <c r="I746">
        <v>5</v>
      </c>
      <c r="J746" s="24">
        <v>443.24</v>
      </c>
      <c r="K746" s="24">
        <f t="shared" si="22"/>
        <v>2216.1999999999998</v>
      </c>
      <c r="L746" s="24">
        <v>3323.25</v>
      </c>
      <c r="M746" s="2">
        <f t="shared" si="23"/>
        <v>1107.0500000000002</v>
      </c>
      <c r="N746" t="str">
        <v>High</v>
      </c>
      <c r="O746" t="s">
        <v>64</v>
      </c>
    </row>
    <row r="747" spans="1:15" x14ac:dyDescent="0.3">
      <c r="A747" t="s">
        <v>785</v>
      </c>
      <c r="B747" s="1">
        <v>46038</v>
      </c>
      <c r="C747" t="s">
        <v>1107</v>
      </c>
      <c r="D747" t="s">
        <v>72</v>
      </c>
      <c r="E747" t="s">
        <v>1246</v>
      </c>
      <c r="F747" t="s">
        <v>1267</v>
      </c>
      <c r="G747" t="s">
        <v>60</v>
      </c>
      <c r="H747" t="s">
        <v>54</v>
      </c>
      <c r="I747">
        <v>10</v>
      </c>
      <c r="J747" s="24">
        <v>200.84</v>
      </c>
      <c r="K747" s="24">
        <f t="shared" si="22"/>
        <v>2008.4</v>
      </c>
      <c r="L747" s="24">
        <v>2414.63</v>
      </c>
      <c r="M747" s="2">
        <f t="shared" si="23"/>
        <v>406.23</v>
      </c>
      <c r="N747" t="str">
        <v>High</v>
      </c>
      <c r="O747" t="s">
        <v>65</v>
      </c>
    </row>
    <row r="748" spans="1:15" x14ac:dyDescent="0.3">
      <c r="A748" t="s">
        <v>786</v>
      </c>
      <c r="B748" s="1">
        <v>46039</v>
      </c>
      <c r="C748" t="s">
        <v>1078</v>
      </c>
      <c r="D748" t="s">
        <v>71</v>
      </c>
      <c r="E748" t="s">
        <v>1251</v>
      </c>
      <c r="F748" t="s">
        <v>1315</v>
      </c>
      <c r="G748" t="s">
        <v>60</v>
      </c>
      <c r="H748" t="s">
        <v>51</v>
      </c>
      <c r="I748">
        <v>1</v>
      </c>
      <c r="J748" s="24">
        <v>303.64999999999998</v>
      </c>
      <c r="K748" s="24">
        <f t="shared" si="22"/>
        <v>303.64999999999998</v>
      </c>
      <c r="L748" s="24">
        <v>406.24</v>
      </c>
      <c r="M748" s="2">
        <f t="shared" si="23"/>
        <v>102.59000000000003</v>
      </c>
      <c r="N748" t="str">
        <v>Low</v>
      </c>
      <c r="O748" t="s">
        <v>65</v>
      </c>
    </row>
    <row r="749" spans="1:15" x14ac:dyDescent="0.3">
      <c r="A749" t="s">
        <v>787</v>
      </c>
      <c r="B749" s="1">
        <v>46040</v>
      </c>
      <c r="C749" t="s">
        <v>1059</v>
      </c>
      <c r="D749" t="s">
        <v>72</v>
      </c>
      <c r="E749" t="s">
        <v>1242</v>
      </c>
      <c r="F749" t="s">
        <v>1294</v>
      </c>
      <c r="G749" t="s">
        <v>60</v>
      </c>
      <c r="H749" t="s">
        <v>54</v>
      </c>
      <c r="I749">
        <v>8</v>
      </c>
      <c r="J749" s="24">
        <v>394.04</v>
      </c>
      <c r="K749" s="24">
        <f t="shared" si="22"/>
        <v>3152.32</v>
      </c>
      <c r="L749" s="24">
        <v>3900.23</v>
      </c>
      <c r="M749" s="2">
        <f t="shared" si="23"/>
        <v>747.90999999999985</v>
      </c>
      <c r="N749" t="str">
        <v>High</v>
      </c>
      <c r="O749" t="s">
        <v>63</v>
      </c>
    </row>
    <row r="750" spans="1:15" x14ac:dyDescent="0.3">
      <c r="A750" t="s">
        <v>788</v>
      </c>
      <c r="B750" s="1">
        <v>46041</v>
      </c>
      <c r="C750" t="s">
        <v>1214</v>
      </c>
      <c r="D750" t="s">
        <v>72</v>
      </c>
      <c r="E750" t="s">
        <v>1242</v>
      </c>
      <c r="F750" t="s">
        <v>1288</v>
      </c>
      <c r="G750" t="s">
        <v>60</v>
      </c>
      <c r="H750" t="s">
        <v>52</v>
      </c>
      <c r="I750">
        <v>8</v>
      </c>
      <c r="J750" s="24">
        <v>467.2</v>
      </c>
      <c r="K750" s="24">
        <f t="shared" si="22"/>
        <v>3737.6</v>
      </c>
      <c r="L750" s="24">
        <v>5043.3100000000004</v>
      </c>
      <c r="M750" s="2">
        <f t="shared" si="23"/>
        <v>1305.7100000000005</v>
      </c>
      <c r="N750" t="str">
        <v>High</v>
      </c>
      <c r="O750" t="s">
        <v>64</v>
      </c>
    </row>
    <row r="751" spans="1:15" x14ac:dyDescent="0.3">
      <c r="A751" t="s">
        <v>789</v>
      </c>
      <c r="B751" s="1">
        <v>46042</v>
      </c>
      <c r="C751" t="s">
        <v>1173</v>
      </c>
      <c r="D751" t="s">
        <v>71</v>
      </c>
      <c r="E751" t="s">
        <v>1254</v>
      </c>
      <c r="F751" t="s">
        <v>1307</v>
      </c>
      <c r="G751" t="s">
        <v>60</v>
      </c>
      <c r="H751" t="s">
        <v>51</v>
      </c>
      <c r="I751">
        <v>9</v>
      </c>
      <c r="J751" s="24">
        <v>488.1</v>
      </c>
      <c r="K751" s="24">
        <f t="shared" si="22"/>
        <v>4392.9000000000005</v>
      </c>
      <c r="L751" s="24">
        <v>5888.5</v>
      </c>
      <c r="M751" s="2">
        <f t="shared" si="23"/>
        <v>1495.5999999999995</v>
      </c>
      <c r="N751" t="str">
        <v>High</v>
      </c>
      <c r="O751" t="s">
        <v>63</v>
      </c>
    </row>
    <row r="752" spans="1:15" x14ac:dyDescent="0.3">
      <c r="A752" t="s">
        <v>790</v>
      </c>
      <c r="B752" s="1">
        <v>46043</v>
      </c>
      <c r="C752" t="s">
        <v>1199</v>
      </c>
      <c r="D752" t="s">
        <v>73</v>
      </c>
      <c r="E752" t="s">
        <v>1250</v>
      </c>
      <c r="F752" t="s">
        <v>1274</v>
      </c>
      <c r="G752" t="s">
        <v>60</v>
      </c>
      <c r="H752" t="s">
        <v>54</v>
      </c>
      <c r="I752">
        <v>1</v>
      </c>
      <c r="J752" s="24">
        <v>269.13</v>
      </c>
      <c r="K752" s="24">
        <f t="shared" si="22"/>
        <v>269.13</v>
      </c>
      <c r="L752" s="24">
        <v>305.54000000000002</v>
      </c>
      <c r="M752" s="2">
        <f t="shared" si="23"/>
        <v>36.410000000000025</v>
      </c>
      <c r="N752" t="str">
        <v>Low</v>
      </c>
      <c r="O752" t="s">
        <v>63</v>
      </c>
    </row>
    <row r="753" spans="1:15" x14ac:dyDescent="0.3">
      <c r="A753" t="s">
        <v>791</v>
      </c>
      <c r="B753" s="1">
        <v>46044</v>
      </c>
      <c r="C753" t="s">
        <v>1101</v>
      </c>
      <c r="D753" t="s">
        <v>72</v>
      </c>
      <c r="E753" t="s">
        <v>1246</v>
      </c>
      <c r="F753" t="s">
        <v>1286</v>
      </c>
      <c r="G753" t="s">
        <v>60</v>
      </c>
      <c r="H753" t="s">
        <v>53</v>
      </c>
      <c r="I753">
        <v>8</v>
      </c>
      <c r="J753" s="24">
        <v>421.2</v>
      </c>
      <c r="K753" s="24">
        <f t="shared" si="22"/>
        <v>3369.6</v>
      </c>
      <c r="L753" s="24">
        <v>4966.34</v>
      </c>
      <c r="M753" s="2">
        <f t="shared" si="23"/>
        <v>1596.7400000000002</v>
      </c>
      <c r="N753" t="str">
        <v>High</v>
      </c>
      <c r="O753" t="s">
        <v>63</v>
      </c>
    </row>
    <row r="754" spans="1:15" x14ac:dyDescent="0.3">
      <c r="A754" t="s">
        <v>792</v>
      </c>
      <c r="B754" s="1">
        <v>46045</v>
      </c>
      <c r="C754" t="s">
        <v>1077</v>
      </c>
      <c r="D754" t="s">
        <v>71</v>
      </c>
      <c r="E754" t="s">
        <v>1251</v>
      </c>
      <c r="F754" t="s">
        <v>1315</v>
      </c>
      <c r="G754" t="s">
        <v>60</v>
      </c>
      <c r="H754" t="s">
        <v>51</v>
      </c>
      <c r="I754">
        <v>8</v>
      </c>
      <c r="J754" s="24">
        <v>158.77000000000001</v>
      </c>
      <c r="K754" s="24">
        <f t="shared" si="22"/>
        <v>1270.1600000000001</v>
      </c>
      <c r="L754" s="24">
        <v>1865.38</v>
      </c>
      <c r="M754" s="2">
        <f t="shared" si="23"/>
        <v>595.22</v>
      </c>
      <c r="N754" t="str">
        <v>Low</v>
      </c>
      <c r="O754" t="s">
        <v>63</v>
      </c>
    </row>
    <row r="755" spans="1:15" x14ac:dyDescent="0.3">
      <c r="A755" t="s">
        <v>793</v>
      </c>
      <c r="B755" s="1">
        <v>46046</v>
      </c>
      <c r="C755" t="s">
        <v>1219</v>
      </c>
      <c r="D755" t="s">
        <v>1255</v>
      </c>
      <c r="E755" t="s">
        <v>59</v>
      </c>
      <c r="F755" t="s">
        <v>1266</v>
      </c>
      <c r="G755" t="s">
        <v>60</v>
      </c>
      <c r="H755" t="s">
        <v>53</v>
      </c>
      <c r="I755">
        <v>10</v>
      </c>
      <c r="J755" s="24">
        <v>112.84</v>
      </c>
      <c r="K755" s="24">
        <f t="shared" si="22"/>
        <v>1128.4000000000001</v>
      </c>
      <c r="L755" s="24">
        <v>1482.84</v>
      </c>
      <c r="M755" s="2">
        <f t="shared" si="23"/>
        <v>354.43999999999983</v>
      </c>
      <c r="N755" t="str">
        <v>Low</v>
      </c>
      <c r="O755" t="s">
        <v>64</v>
      </c>
    </row>
    <row r="756" spans="1:15" x14ac:dyDescent="0.3">
      <c r="A756" t="s">
        <v>794</v>
      </c>
      <c r="B756" s="1">
        <v>46047</v>
      </c>
      <c r="C756" t="s">
        <v>1219</v>
      </c>
      <c r="D756" t="s">
        <v>72</v>
      </c>
      <c r="E756" t="s">
        <v>1245</v>
      </c>
      <c r="F756" t="s">
        <v>1265</v>
      </c>
      <c r="G756" t="s">
        <v>60</v>
      </c>
      <c r="H756" t="s">
        <v>51</v>
      </c>
      <c r="I756">
        <v>9</v>
      </c>
      <c r="J756" s="24">
        <v>335.61</v>
      </c>
      <c r="K756" s="24">
        <f t="shared" si="22"/>
        <v>3020.4900000000002</v>
      </c>
      <c r="L756" s="24">
        <v>4140.6099999999997</v>
      </c>
      <c r="M756" s="2">
        <f t="shared" si="23"/>
        <v>1120.1199999999994</v>
      </c>
      <c r="N756" t="str">
        <v>High</v>
      </c>
      <c r="O756" t="s">
        <v>64</v>
      </c>
    </row>
    <row r="757" spans="1:15" x14ac:dyDescent="0.3">
      <c r="A757" t="s">
        <v>795</v>
      </c>
      <c r="B757" s="1">
        <v>46048</v>
      </c>
      <c r="C757" t="s">
        <v>1193</v>
      </c>
      <c r="D757" t="s">
        <v>74</v>
      </c>
      <c r="E757" t="s">
        <v>1249</v>
      </c>
      <c r="F757" t="s">
        <v>1321</v>
      </c>
      <c r="G757" t="s">
        <v>60</v>
      </c>
      <c r="H757" t="s">
        <v>51</v>
      </c>
      <c r="I757">
        <v>6</v>
      </c>
      <c r="J757" s="24">
        <v>412.92</v>
      </c>
      <c r="K757" s="24">
        <f t="shared" si="22"/>
        <v>2477.52</v>
      </c>
      <c r="L757" s="24">
        <v>3371.98</v>
      </c>
      <c r="M757" s="2">
        <f t="shared" si="23"/>
        <v>894.46</v>
      </c>
      <c r="N757" t="str">
        <v>High</v>
      </c>
      <c r="O757" t="s">
        <v>64</v>
      </c>
    </row>
    <row r="758" spans="1:15" x14ac:dyDescent="0.3">
      <c r="A758" t="s">
        <v>796</v>
      </c>
      <c r="B758" s="1">
        <v>46049</v>
      </c>
      <c r="C758" t="s">
        <v>1110</v>
      </c>
      <c r="D758" t="s">
        <v>73</v>
      </c>
      <c r="E758" t="s">
        <v>1252</v>
      </c>
      <c r="F758" t="s">
        <v>1311</v>
      </c>
      <c r="G758" t="s">
        <v>60</v>
      </c>
      <c r="H758" t="s">
        <v>54</v>
      </c>
      <c r="I758">
        <v>4</v>
      </c>
      <c r="J758" s="24">
        <v>136.18</v>
      </c>
      <c r="K758" s="24">
        <f t="shared" si="22"/>
        <v>544.72</v>
      </c>
      <c r="L758" s="24">
        <v>620.66</v>
      </c>
      <c r="M758" s="2">
        <f t="shared" si="23"/>
        <v>75.939999999999941</v>
      </c>
      <c r="N758" t="str">
        <v>Low</v>
      </c>
      <c r="O758" t="s">
        <v>63</v>
      </c>
    </row>
    <row r="759" spans="1:15" x14ac:dyDescent="0.3">
      <c r="A759" t="s">
        <v>797</v>
      </c>
      <c r="B759" s="1">
        <v>46050</v>
      </c>
      <c r="C759" t="s">
        <v>1200</v>
      </c>
      <c r="D759" t="s">
        <v>73</v>
      </c>
      <c r="E759" t="s">
        <v>1250</v>
      </c>
      <c r="F759" t="s">
        <v>1274</v>
      </c>
      <c r="G759" t="s">
        <v>60</v>
      </c>
      <c r="H759" t="s">
        <v>53</v>
      </c>
      <c r="I759">
        <v>5</v>
      </c>
      <c r="J759" s="24">
        <v>313.89</v>
      </c>
      <c r="K759" s="24">
        <f t="shared" si="22"/>
        <v>1569.4499999999998</v>
      </c>
      <c r="L759" s="24">
        <v>2223.85</v>
      </c>
      <c r="M759" s="2">
        <f t="shared" si="23"/>
        <v>654.40000000000009</v>
      </c>
      <c r="N759" t="str">
        <v>High</v>
      </c>
      <c r="O759" t="s">
        <v>65</v>
      </c>
    </row>
    <row r="760" spans="1:15" x14ac:dyDescent="0.3">
      <c r="A760" t="s">
        <v>798</v>
      </c>
      <c r="B760" s="1">
        <v>46051</v>
      </c>
      <c r="C760" t="s">
        <v>1200</v>
      </c>
      <c r="D760" t="s">
        <v>71</v>
      </c>
      <c r="E760" t="s">
        <v>1240</v>
      </c>
      <c r="F760" t="s">
        <v>1260</v>
      </c>
      <c r="G760" t="s">
        <v>60</v>
      </c>
      <c r="H760" t="s">
        <v>54</v>
      </c>
      <c r="I760">
        <v>7</v>
      </c>
      <c r="J760" s="24">
        <v>458.74</v>
      </c>
      <c r="K760" s="24">
        <f t="shared" si="22"/>
        <v>3211.1800000000003</v>
      </c>
      <c r="L760" s="24">
        <v>3818.05</v>
      </c>
      <c r="M760" s="2">
        <f t="shared" si="23"/>
        <v>606.86999999999989</v>
      </c>
      <c r="N760" t="str">
        <v>High</v>
      </c>
      <c r="O760" t="s">
        <v>63</v>
      </c>
    </row>
    <row r="761" spans="1:15" x14ac:dyDescent="0.3">
      <c r="A761" t="s">
        <v>799</v>
      </c>
      <c r="B761" s="1">
        <v>46052</v>
      </c>
      <c r="C761" t="s">
        <v>1105</v>
      </c>
      <c r="D761" t="s">
        <v>71</v>
      </c>
      <c r="E761" t="s">
        <v>1240</v>
      </c>
      <c r="F761" t="s">
        <v>1273</v>
      </c>
      <c r="G761" t="s">
        <v>60</v>
      </c>
      <c r="H761" t="s">
        <v>54</v>
      </c>
      <c r="I761">
        <v>2</v>
      </c>
      <c r="J761" s="24">
        <v>144.99</v>
      </c>
      <c r="K761" s="24">
        <f t="shared" si="22"/>
        <v>289.98</v>
      </c>
      <c r="L761" s="24">
        <v>333.19</v>
      </c>
      <c r="M761" s="2">
        <f t="shared" si="23"/>
        <v>43.20999999999998</v>
      </c>
      <c r="N761" t="str">
        <v>Low</v>
      </c>
      <c r="O761" t="s">
        <v>65</v>
      </c>
    </row>
    <row r="762" spans="1:15" x14ac:dyDescent="0.3">
      <c r="A762" t="s">
        <v>800</v>
      </c>
      <c r="B762" s="1">
        <v>46053</v>
      </c>
      <c r="C762" t="s">
        <v>1061</v>
      </c>
      <c r="D762" t="s">
        <v>73</v>
      </c>
      <c r="E762" t="s">
        <v>1243</v>
      </c>
      <c r="F762" t="s">
        <v>1290</v>
      </c>
      <c r="G762" t="s">
        <v>60</v>
      </c>
      <c r="H762" t="s">
        <v>54</v>
      </c>
      <c r="I762">
        <v>1</v>
      </c>
      <c r="J762" s="24">
        <v>75.040000000000006</v>
      </c>
      <c r="K762" s="24">
        <f t="shared" si="22"/>
        <v>75.040000000000006</v>
      </c>
      <c r="L762" s="24">
        <v>85.75</v>
      </c>
      <c r="M762" s="2">
        <f t="shared" si="23"/>
        <v>10.709999999999994</v>
      </c>
      <c r="N762" t="str">
        <v>Low</v>
      </c>
      <c r="O762" t="s">
        <v>65</v>
      </c>
    </row>
    <row r="763" spans="1:15" x14ac:dyDescent="0.3">
      <c r="A763" t="s">
        <v>801</v>
      </c>
      <c r="B763" s="1">
        <v>46054</v>
      </c>
      <c r="C763" t="s">
        <v>1156</v>
      </c>
      <c r="D763" t="s">
        <v>71</v>
      </c>
      <c r="E763" t="s">
        <v>1241</v>
      </c>
      <c r="F763" t="s">
        <v>1312</v>
      </c>
      <c r="G763" t="s">
        <v>60</v>
      </c>
      <c r="H763" t="s">
        <v>51</v>
      </c>
      <c r="I763">
        <v>4</v>
      </c>
      <c r="J763" s="24">
        <v>222.35</v>
      </c>
      <c r="K763" s="24">
        <f t="shared" si="22"/>
        <v>889.4</v>
      </c>
      <c r="L763" s="24">
        <v>1282</v>
      </c>
      <c r="M763" s="2">
        <f t="shared" si="23"/>
        <v>392.6</v>
      </c>
      <c r="N763" t="str">
        <v>Low</v>
      </c>
      <c r="O763" t="s">
        <v>64</v>
      </c>
    </row>
    <row r="764" spans="1:15" x14ac:dyDescent="0.3">
      <c r="A764" t="s">
        <v>802</v>
      </c>
      <c r="B764" s="1">
        <v>46055</v>
      </c>
      <c r="C764" t="s">
        <v>1092</v>
      </c>
      <c r="D764" t="s">
        <v>74</v>
      </c>
      <c r="E764" t="s">
        <v>1249</v>
      </c>
      <c r="F764" t="s">
        <v>1324</v>
      </c>
      <c r="G764" t="s">
        <v>60</v>
      </c>
      <c r="H764" t="s">
        <v>52</v>
      </c>
      <c r="I764">
        <v>6</v>
      </c>
      <c r="J764" s="24">
        <v>442.31</v>
      </c>
      <c r="K764" s="24">
        <f t="shared" si="22"/>
        <v>2653.86</v>
      </c>
      <c r="L764" s="24">
        <v>3088.6</v>
      </c>
      <c r="M764" s="2">
        <f t="shared" si="23"/>
        <v>434.73999999999978</v>
      </c>
      <c r="N764" t="str">
        <v>High</v>
      </c>
      <c r="O764" t="s">
        <v>64</v>
      </c>
    </row>
    <row r="765" spans="1:15" x14ac:dyDescent="0.3">
      <c r="A765" t="s">
        <v>803</v>
      </c>
      <c r="B765" s="1">
        <v>46056</v>
      </c>
      <c r="C765" t="s">
        <v>1111</v>
      </c>
      <c r="D765" t="s">
        <v>73</v>
      </c>
      <c r="E765" t="s">
        <v>1243</v>
      </c>
      <c r="F765" t="s">
        <v>1290</v>
      </c>
      <c r="G765" t="s">
        <v>60</v>
      </c>
      <c r="H765" t="s">
        <v>52</v>
      </c>
      <c r="I765">
        <v>5</v>
      </c>
      <c r="J765" s="24">
        <v>433.85</v>
      </c>
      <c r="K765" s="24">
        <f t="shared" si="22"/>
        <v>2169.25</v>
      </c>
      <c r="L765" s="24">
        <v>2715.67</v>
      </c>
      <c r="M765" s="2">
        <f t="shared" si="23"/>
        <v>546.42000000000007</v>
      </c>
      <c r="N765" t="str">
        <v>High</v>
      </c>
      <c r="O765" t="s">
        <v>65</v>
      </c>
    </row>
    <row r="766" spans="1:15" x14ac:dyDescent="0.3">
      <c r="A766" t="s">
        <v>804</v>
      </c>
      <c r="B766" s="1">
        <v>46057</v>
      </c>
      <c r="C766" t="s">
        <v>1127</v>
      </c>
      <c r="D766" t="s">
        <v>72</v>
      </c>
      <c r="E766" t="s">
        <v>1246</v>
      </c>
      <c r="F766" t="s">
        <v>1282</v>
      </c>
      <c r="G766" t="s">
        <v>60</v>
      </c>
      <c r="H766" t="s">
        <v>53</v>
      </c>
      <c r="I766">
        <v>3</v>
      </c>
      <c r="J766" s="24">
        <v>146.96</v>
      </c>
      <c r="K766" s="24">
        <f t="shared" si="22"/>
        <v>440.88</v>
      </c>
      <c r="L766" s="24">
        <v>606.98</v>
      </c>
      <c r="M766" s="2">
        <f t="shared" si="23"/>
        <v>166.10000000000002</v>
      </c>
      <c r="N766" t="str">
        <v>Low</v>
      </c>
      <c r="O766" t="s">
        <v>65</v>
      </c>
    </row>
    <row r="767" spans="1:15" x14ac:dyDescent="0.3">
      <c r="A767" t="s">
        <v>805</v>
      </c>
      <c r="B767" s="1">
        <v>46058</v>
      </c>
      <c r="C767" t="s">
        <v>1214</v>
      </c>
      <c r="D767" t="s">
        <v>74</v>
      </c>
      <c r="E767" t="s">
        <v>1244</v>
      </c>
      <c r="F767" t="s">
        <v>1314</v>
      </c>
      <c r="G767" t="s">
        <v>60</v>
      </c>
      <c r="H767" t="s">
        <v>52</v>
      </c>
      <c r="I767">
        <v>5</v>
      </c>
      <c r="J767" s="24">
        <v>272.32</v>
      </c>
      <c r="K767" s="24">
        <f t="shared" si="22"/>
        <v>1361.6</v>
      </c>
      <c r="L767" s="24">
        <v>1721</v>
      </c>
      <c r="M767" s="2">
        <f t="shared" si="23"/>
        <v>359.40000000000009</v>
      </c>
      <c r="N767" t="str">
        <v>Low</v>
      </c>
      <c r="O767" t="s">
        <v>65</v>
      </c>
    </row>
    <row r="768" spans="1:15" x14ac:dyDescent="0.3">
      <c r="A768" t="s">
        <v>806</v>
      </c>
      <c r="B768" s="1">
        <v>46059</v>
      </c>
      <c r="C768" t="s">
        <v>1227</v>
      </c>
      <c r="D768" t="s">
        <v>73</v>
      </c>
      <c r="E768" t="s">
        <v>1252</v>
      </c>
      <c r="F768" t="s">
        <v>1311</v>
      </c>
      <c r="G768" t="s">
        <v>60</v>
      </c>
      <c r="H768" t="s">
        <v>53</v>
      </c>
      <c r="I768">
        <v>9</v>
      </c>
      <c r="J768" s="24">
        <v>477.55</v>
      </c>
      <c r="K768" s="24">
        <f t="shared" si="22"/>
        <v>4297.95</v>
      </c>
      <c r="L768" s="24">
        <v>5708.91</v>
      </c>
      <c r="M768" s="2">
        <f t="shared" si="23"/>
        <v>1410.96</v>
      </c>
      <c r="N768" t="str">
        <v>High</v>
      </c>
      <c r="O768" t="s">
        <v>64</v>
      </c>
    </row>
    <row r="769" spans="1:15" x14ac:dyDescent="0.3">
      <c r="A769" t="s">
        <v>807</v>
      </c>
      <c r="B769" s="1">
        <v>46060</v>
      </c>
      <c r="C769" t="s">
        <v>1180</v>
      </c>
      <c r="D769" t="s">
        <v>73</v>
      </c>
      <c r="E769" t="s">
        <v>1250</v>
      </c>
      <c r="F769" t="s">
        <v>1284</v>
      </c>
      <c r="G769" t="s">
        <v>60</v>
      </c>
      <c r="H769" t="s">
        <v>51</v>
      </c>
      <c r="I769">
        <v>2</v>
      </c>
      <c r="J769" s="24">
        <v>194.18</v>
      </c>
      <c r="K769" s="24">
        <f t="shared" si="22"/>
        <v>388.36</v>
      </c>
      <c r="L769" s="24">
        <v>516.16999999999996</v>
      </c>
      <c r="M769" s="2">
        <f t="shared" si="23"/>
        <v>127.80999999999995</v>
      </c>
      <c r="N769" t="str">
        <v>Low</v>
      </c>
      <c r="O769" t="s">
        <v>65</v>
      </c>
    </row>
    <row r="770" spans="1:15" x14ac:dyDescent="0.3">
      <c r="A770" t="s">
        <v>808</v>
      </c>
      <c r="B770" s="1">
        <v>46061</v>
      </c>
      <c r="C770" t="s">
        <v>1098</v>
      </c>
      <c r="D770" t="s">
        <v>72</v>
      </c>
      <c r="E770" t="s">
        <v>1253</v>
      </c>
      <c r="F770" t="s">
        <v>1313</v>
      </c>
      <c r="G770" t="s">
        <v>60</v>
      </c>
      <c r="H770" t="s">
        <v>52</v>
      </c>
      <c r="I770">
        <v>2</v>
      </c>
      <c r="J770" s="24">
        <v>167.17</v>
      </c>
      <c r="K770" s="24">
        <f t="shared" si="22"/>
        <v>334.34</v>
      </c>
      <c r="L770" s="24">
        <v>426.67</v>
      </c>
      <c r="M770" s="2">
        <f t="shared" si="23"/>
        <v>92.330000000000041</v>
      </c>
      <c r="N770" t="str">
        <v>Low</v>
      </c>
      <c r="O770" t="s">
        <v>65</v>
      </c>
    </row>
    <row r="771" spans="1:15" x14ac:dyDescent="0.3">
      <c r="A771" t="s">
        <v>809</v>
      </c>
      <c r="B771" s="1">
        <v>46062</v>
      </c>
      <c r="C771" t="s">
        <v>1117</v>
      </c>
      <c r="D771" t="s">
        <v>73</v>
      </c>
      <c r="E771" t="s">
        <v>1250</v>
      </c>
      <c r="F771" t="s">
        <v>1284</v>
      </c>
      <c r="G771" t="s">
        <v>60</v>
      </c>
      <c r="H771" t="s">
        <v>54</v>
      </c>
      <c r="I771">
        <v>4</v>
      </c>
      <c r="J771" s="24">
        <v>409.52</v>
      </c>
      <c r="K771" s="24">
        <f t="shared" ref="K771:K834" si="24">J771*I771</f>
        <v>1638.08</v>
      </c>
      <c r="L771" s="24">
        <v>2247.79</v>
      </c>
      <c r="M771" s="2">
        <f t="shared" ref="M771:M834" si="25">L771-K771</f>
        <v>609.71</v>
      </c>
      <c r="N771" t="str">
        <v>High</v>
      </c>
      <c r="O771" t="s">
        <v>64</v>
      </c>
    </row>
    <row r="772" spans="1:15" x14ac:dyDescent="0.3">
      <c r="A772" t="s">
        <v>810</v>
      </c>
      <c r="B772" s="1">
        <v>46063</v>
      </c>
      <c r="C772" t="s">
        <v>1093</v>
      </c>
      <c r="D772" t="s">
        <v>74</v>
      </c>
      <c r="E772" t="s">
        <v>1244</v>
      </c>
      <c r="F772" t="s">
        <v>1330</v>
      </c>
      <c r="G772" t="s">
        <v>60</v>
      </c>
      <c r="H772" t="s">
        <v>51</v>
      </c>
      <c r="I772">
        <v>6</v>
      </c>
      <c r="J772" s="24">
        <v>472.52</v>
      </c>
      <c r="K772" s="24">
        <f t="shared" si="24"/>
        <v>2835.12</v>
      </c>
      <c r="L772" s="24">
        <v>4037.2</v>
      </c>
      <c r="M772" s="2">
        <f t="shared" si="25"/>
        <v>1202.08</v>
      </c>
      <c r="N772" t="str">
        <v>High</v>
      </c>
      <c r="O772" t="s">
        <v>63</v>
      </c>
    </row>
    <row r="773" spans="1:15" x14ac:dyDescent="0.3">
      <c r="A773" t="s">
        <v>811</v>
      </c>
      <c r="B773" s="1">
        <v>46064</v>
      </c>
      <c r="C773" t="s">
        <v>1119</v>
      </c>
      <c r="D773" t="s">
        <v>71</v>
      </c>
      <c r="E773" t="s">
        <v>1240</v>
      </c>
      <c r="F773" t="s">
        <v>1273</v>
      </c>
      <c r="G773" t="s">
        <v>60</v>
      </c>
      <c r="H773" t="s">
        <v>51</v>
      </c>
      <c r="I773">
        <v>3</v>
      </c>
      <c r="J773" s="24">
        <v>354.86</v>
      </c>
      <c r="K773" s="24">
        <f t="shared" si="24"/>
        <v>1064.58</v>
      </c>
      <c r="L773" s="24">
        <v>1205.47</v>
      </c>
      <c r="M773" s="2">
        <f t="shared" si="25"/>
        <v>140.8900000000001</v>
      </c>
      <c r="N773" t="str">
        <v>Low</v>
      </c>
      <c r="O773" t="s">
        <v>63</v>
      </c>
    </row>
    <row r="774" spans="1:15" x14ac:dyDescent="0.3">
      <c r="A774" t="s">
        <v>812</v>
      </c>
      <c r="B774" s="1">
        <v>46065</v>
      </c>
      <c r="C774" t="s">
        <v>1187</v>
      </c>
      <c r="D774" t="s">
        <v>74</v>
      </c>
      <c r="E774" t="s">
        <v>1249</v>
      </c>
      <c r="F774" t="s">
        <v>1270</v>
      </c>
      <c r="G774" t="s">
        <v>60</v>
      </c>
      <c r="H774" t="s">
        <v>51</v>
      </c>
      <c r="I774">
        <v>5</v>
      </c>
      <c r="J774" s="24">
        <v>120.78</v>
      </c>
      <c r="K774" s="24">
        <f t="shared" si="24"/>
        <v>603.9</v>
      </c>
      <c r="L774" s="24">
        <v>858.27</v>
      </c>
      <c r="M774" s="2">
        <f t="shared" si="25"/>
        <v>254.37</v>
      </c>
      <c r="N774" t="str">
        <v>Low</v>
      </c>
      <c r="O774" t="s">
        <v>64</v>
      </c>
    </row>
    <row r="775" spans="1:15" x14ac:dyDescent="0.3">
      <c r="A775" t="s">
        <v>813</v>
      </c>
      <c r="B775" s="1">
        <v>46066</v>
      </c>
      <c r="C775" t="s">
        <v>1217</v>
      </c>
      <c r="D775" t="s">
        <v>73</v>
      </c>
      <c r="E775" t="s">
        <v>1252</v>
      </c>
      <c r="F775" t="s">
        <v>1289</v>
      </c>
      <c r="G775" t="s">
        <v>60</v>
      </c>
      <c r="H775" t="s">
        <v>53</v>
      </c>
      <c r="I775">
        <v>7</v>
      </c>
      <c r="J775" s="24">
        <v>141.94999999999999</v>
      </c>
      <c r="K775" s="24">
        <f t="shared" si="24"/>
        <v>993.64999999999986</v>
      </c>
      <c r="L775" s="24">
        <v>1186.83</v>
      </c>
      <c r="M775" s="2">
        <f t="shared" si="25"/>
        <v>193.18000000000006</v>
      </c>
      <c r="N775" t="str">
        <v>Low</v>
      </c>
      <c r="O775" t="s">
        <v>65</v>
      </c>
    </row>
    <row r="776" spans="1:15" x14ac:dyDescent="0.3">
      <c r="A776" t="s">
        <v>814</v>
      </c>
      <c r="B776" s="1">
        <v>46067</v>
      </c>
      <c r="C776" t="s">
        <v>1113</v>
      </c>
      <c r="D776" t="s">
        <v>71</v>
      </c>
      <c r="E776" t="s">
        <v>1254</v>
      </c>
      <c r="F776" t="s">
        <v>1307</v>
      </c>
      <c r="G776" t="s">
        <v>60</v>
      </c>
      <c r="H776" t="s">
        <v>51</v>
      </c>
      <c r="I776">
        <v>9</v>
      </c>
      <c r="J776" s="24">
        <v>79.72</v>
      </c>
      <c r="K776" s="24">
        <f t="shared" si="24"/>
        <v>717.48</v>
      </c>
      <c r="L776" s="24">
        <v>992.49</v>
      </c>
      <c r="M776" s="2">
        <f t="shared" si="25"/>
        <v>275.01</v>
      </c>
      <c r="N776" t="str">
        <v>Low</v>
      </c>
      <c r="O776" t="s">
        <v>65</v>
      </c>
    </row>
    <row r="777" spans="1:15" x14ac:dyDescent="0.3">
      <c r="A777" t="s">
        <v>815</v>
      </c>
      <c r="B777" s="1">
        <v>46068</v>
      </c>
      <c r="C777" t="s">
        <v>1073</v>
      </c>
      <c r="D777" t="s">
        <v>71</v>
      </c>
      <c r="E777" t="s">
        <v>1254</v>
      </c>
      <c r="F777" t="s">
        <v>1292</v>
      </c>
      <c r="G777" t="s">
        <v>60</v>
      </c>
      <c r="H777" t="s">
        <v>51</v>
      </c>
      <c r="I777">
        <v>10</v>
      </c>
      <c r="J777" s="24">
        <v>286.35000000000002</v>
      </c>
      <c r="K777" s="24">
        <f t="shared" si="24"/>
        <v>2863.5</v>
      </c>
      <c r="L777" s="24">
        <v>4071.03</v>
      </c>
      <c r="M777" s="2">
        <f t="shared" si="25"/>
        <v>1207.5300000000002</v>
      </c>
      <c r="N777" t="str">
        <v>High</v>
      </c>
      <c r="O777" t="s">
        <v>63</v>
      </c>
    </row>
    <row r="778" spans="1:15" x14ac:dyDescent="0.3">
      <c r="A778" t="s">
        <v>816</v>
      </c>
      <c r="B778" s="1">
        <v>46069</v>
      </c>
      <c r="C778" t="s">
        <v>1099</v>
      </c>
      <c r="D778" t="s">
        <v>74</v>
      </c>
      <c r="E778" t="s">
        <v>1244</v>
      </c>
      <c r="F778" t="s">
        <v>58</v>
      </c>
      <c r="G778" t="s">
        <v>60</v>
      </c>
      <c r="H778" t="s">
        <v>53</v>
      </c>
      <c r="I778">
        <v>9</v>
      </c>
      <c r="J778" s="24">
        <v>468.56</v>
      </c>
      <c r="K778" s="24">
        <f t="shared" si="24"/>
        <v>4217.04</v>
      </c>
      <c r="L778" s="24">
        <v>4645.8</v>
      </c>
      <c r="M778" s="2">
        <f t="shared" si="25"/>
        <v>428.76000000000022</v>
      </c>
      <c r="N778" t="str">
        <v>High</v>
      </c>
      <c r="O778" t="s">
        <v>64</v>
      </c>
    </row>
    <row r="779" spans="1:15" x14ac:dyDescent="0.3">
      <c r="A779" t="s">
        <v>817</v>
      </c>
      <c r="B779" s="1">
        <v>46070</v>
      </c>
      <c r="C779" t="s">
        <v>1044</v>
      </c>
      <c r="D779" t="s">
        <v>74</v>
      </c>
      <c r="E779" t="s">
        <v>1244</v>
      </c>
      <c r="F779" t="s">
        <v>1330</v>
      </c>
      <c r="G779" t="s">
        <v>60</v>
      </c>
      <c r="H779" t="s">
        <v>53</v>
      </c>
      <c r="I779">
        <v>8</v>
      </c>
      <c r="J779" s="24">
        <v>272.3</v>
      </c>
      <c r="K779" s="24">
        <f t="shared" si="24"/>
        <v>2178.4</v>
      </c>
      <c r="L779" s="24">
        <v>2510.79</v>
      </c>
      <c r="M779" s="2">
        <f t="shared" si="25"/>
        <v>332.38999999999987</v>
      </c>
      <c r="N779" t="str">
        <v>High</v>
      </c>
      <c r="O779" t="s">
        <v>65</v>
      </c>
    </row>
    <row r="780" spans="1:15" x14ac:dyDescent="0.3">
      <c r="A780" t="s">
        <v>818</v>
      </c>
      <c r="B780" s="1">
        <v>46071</v>
      </c>
      <c r="C780" t="s">
        <v>1122</v>
      </c>
      <c r="D780" t="s">
        <v>72</v>
      </c>
      <c r="E780" t="s">
        <v>1245</v>
      </c>
      <c r="F780" t="s">
        <v>1263</v>
      </c>
      <c r="G780" t="s">
        <v>60</v>
      </c>
      <c r="H780" t="s">
        <v>53</v>
      </c>
      <c r="I780">
        <v>8</v>
      </c>
      <c r="J780" s="24">
        <v>31.25</v>
      </c>
      <c r="K780" s="24">
        <f t="shared" si="24"/>
        <v>250</v>
      </c>
      <c r="L780" s="24">
        <v>297.32</v>
      </c>
      <c r="M780" s="2">
        <f t="shared" si="25"/>
        <v>47.319999999999993</v>
      </c>
      <c r="N780" t="str">
        <v>Low</v>
      </c>
      <c r="O780" t="s">
        <v>64</v>
      </c>
    </row>
    <row r="781" spans="1:15" x14ac:dyDescent="0.3">
      <c r="A781" t="s">
        <v>819</v>
      </c>
      <c r="B781" s="1">
        <v>46072</v>
      </c>
      <c r="C781" t="s">
        <v>1157</v>
      </c>
      <c r="D781" t="s">
        <v>1255</v>
      </c>
      <c r="E781" t="s">
        <v>59</v>
      </c>
      <c r="F781" t="s">
        <v>1262</v>
      </c>
      <c r="G781" t="s">
        <v>60</v>
      </c>
      <c r="H781" t="s">
        <v>51</v>
      </c>
      <c r="I781">
        <v>6</v>
      </c>
      <c r="J781" s="24">
        <v>461.6</v>
      </c>
      <c r="K781" s="24">
        <f t="shared" si="24"/>
        <v>2769.6000000000004</v>
      </c>
      <c r="L781" s="24">
        <v>3292.41</v>
      </c>
      <c r="M781" s="2">
        <f t="shared" si="25"/>
        <v>522.80999999999949</v>
      </c>
      <c r="N781" t="str">
        <v>High</v>
      </c>
      <c r="O781" t="s">
        <v>64</v>
      </c>
    </row>
    <row r="782" spans="1:15" x14ac:dyDescent="0.3">
      <c r="A782" t="s">
        <v>820</v>
      </c>
      <c r="B782" s="1">
        <v>46073</v>
      </c>
      <c r="C782" t="s">
        <v>1187</v>
      </c>
      <c r="D782" t="s">
        <v>71</v>
      </c>
      <c r="E782" t="s">
        <v>1251</v>
      </c>
      <c r="F782" t="s">
        <v>1320</v>
      </c>
      <c r="G782" t="s">
        <v>60</v>
      </c>
      <c r="H782" t="s">
        <v>54</v>
      </c>
      <c r="I782">
        <v>3</v>
      </c>
      <c r="J782" s="24">
        <v>164.12</v>
      </c>
      <c r="K782" s="24">
        <f t="shared" si="24"/>
        <v>492.36</v>
      </c>
      <c r="L782" s="24">
        <v>556.4</v>
      </c>
      <c r="M782" s="2">
        <f t="shared" si="25"/>
        <v>64.039999999999964</v>
      </c>
      <c r="N782" t="str">
        <v>Low</v>
      </c>
      <c r="O782" t="s">
        <v>63</v>
      </c>
    </row>
    <row r="783" spans="1:15" x14ac:dyDescent="0.3">
      <c r="A783" t="s">
        <v>821</v>
      </c>
      <c r="B783" s="1">
        <v>46074</v>
      </c>
      <c r="C783" t="s">
        <v>1227</v>
      </c>
      <c r="D783" t="s">
        <v>71</v>
      </c>
      <c r="E783" t="s">
        <v>1251</v>
      </c>
      <c r="F783" t="s">
        <v>1279</v>
      </c>
      <c r="G783" t="s">
        <v>60</v>
      </c>
      <c r="H783" t="s">
        <v>51</v>
      </c>
      <c r="I783">
        <v>10</v>
      </c>
      <c r="J783" s="24">
        <v>31.93</v>
      </c>
      <c r="K783" s="24">
        <f t="shared" si="24"/>
        <v>319.3</v>
      </c>
      <c r="L783" s="24">
        <v>463.61</v>
      </c>
      <c r="M783" s="2">
        <f t="shared" si="25"/>
        <v>144.31</v>
      </c>
      <c r="N783" t="str">
        <v>Low</v>
      </c>
      <c r="O783" t="s">
        <v>63</v>
      </c>
    </row>
    <row r="784" spans="1:15" x14ac:dyDescent="0.3">
      <c r="A784" t="s">
        <v>822</v>
      </c>
      <c r="B784" s="1">
        <v>46075</v>
      </c>
      <c r="C784" t="s">
        <v>1142</v>
      </c>
      <c r="D784" t="s">
        <v>73</v>
      </c>
      <c r="E784" t="s">
        <v>1252</v>
      </c>
      <c r="F784" t="s">
        <v>1278</v>
      </c>
      <c r="G784" t="s">
        <v>60</v>
      </c>
      <c r="H784" t="s">
        <v>52</v>
      </c>
      <c r="I784">
        <v>1</v>
      </c>
      <c r="J784" s="24">
        <v>162.41999999999999</v>
      </c>
      <c r="K784" s="24">
        <f t="shared" si="24"/>
        <v>162.41999999999999</v>
      </c>
      <c r="L784" s="24">
        <v>223.96</v>
      </c>
      <c r="M784" s="2">
        <f t="shared" si="25"/>
        <v>61.54000000000002</v>
      </c>
      <c r="N784" t="str">
        <v>Low</v>
      </c>
      <c r="O784" t="s">
        <v>63</v>
      </c>
    </row>
    <row r="785" spans="1:15" x14ac:dyDescent="0.3">
      <c r="A785" t="s">
        <v>823</v>
      </c>
      <c r="B785" s="1">
        <v>46076</v>
      </c>
      <c r="C785" t="s">
        <v>1102</v>
      </c>
      <c r="D785" t="s">
        <v>1255</v>
      </c>
      <c r="E785" t="s">
        <v>59</v>
      </c>
      <c r="F785" t="s">
        <v>1295</v>
      </c>
      <c r="G785" t="s">
        <v>60</v>
      </c>
      <c r="H785" t="s">
        <v>51</v>
      </c>
      <c r="I785">
        <v>5</v>
      </c>
      <c r="J785" s="24">
        <v>85.52</v>
      </c>
      <c r="K785" s="24">
        <f t="shared" si="24"/>
        <v>427.59999999999997</v>
      </c>
      <c r="L785" s="24">
        <v>621.16999999999996</v>
      </c>
      <c r="M785" s="2">
        <f t="shared" si="25"/>
        <v>193.57</v>
      </c>
      <c r="N785" t="str">
        <v>Low</v>
      </c>
      <c r="O785" t="s">
        <v>63</v>
      </c>
    </row>
    <row r="786" spans="1:15" x14ac:dyDescent="0.3">
      <c r="A786" t="s">
        <v>824</v>
      </c>
      <c r="B786" s="1">
        <v>46077</v>
      </c>
      <c r="C786" t="s">
        <v>1200</v>
      </c>
      <c r="D786" t="s">
        <v>72</v>
      </c>
      <c r="E786" t="s">
        <v>1246</v>
      </c>
      <c r="F786" t="s">
        <v>1300</v>
      </c>
      <c r="G786" t="s">
        <v>60</v>
      </c>
      <c r="H786" t="s">
        <v>51</v>
      </c>
      <c r="I786">
        <v>4</v>
      </c>
      <c r="J786" s="24">
        <v>297.86</v>
      </c>
      <c r="K786" s="24">
        <f t="shared" si="24"/>
        <v>1191.44</v>
      </c>
      <c r="L786" s="24">
        <v>1559.45</v>
      </c>
      <c r="M786" s="2">
        <f t="shared" si="25"/>
        <v>368.01</v>
      </c>
      <c r="N786" t="str">
        <v>Low</v>
      </c>
      <c r="O786" t="s">
        <v>64</v>
      </c>
    </row>
    <row r="787" spans="1:15" x14ac:dyDescent="0.3">
      <c r="A787" t="s">
        <v>825</v>
      </c>
      <c r="B787" s="1">
        <v>46078</v>
      </c>
      <c r="C787" t="s">
        <v>1097</v>
      </c>
      <c r="D787" t="s">
        <v>71</v>
      </c>
      <c r="E787" t="s">
        <v>1240</v>
      </c>
      <c r="F787" t="s">
        <v>1275</v>
      </c>
      <c r="G787" t="s">
        <v>60</v>
      </c>
      <c r="H787" t="s">
        <v>54</v>
      </c>
      <c r="I787">
        <v>2</v>
      </c>
      <c r="J787" s="24">
        <v>173.51</v>
      </c>
      <c r="K787" s="24">
        <f t="shared" si="24"/>
        <v>347.02</v>
      </c>
      <c r="L787" s="24">
        <v>401.21</v>
      </c>
      <c r="M787" s="2">
        <f t="shared" si="25"/>
        <v>54.19</v>
      </c>
      <c r="N787" t="str">
        <v>Low</v>
      </c>
      <c r="O787" t="s">
        <v>65</v>
      </c>
    </row>
    <row r="788" spans="1:15" x14ac:dyDescent="0.3">
      <c r="A788" t="s">
        <v>826</v>
      </c>
      <c r="B788" s="1">
        <v>46079</v>
      </c>
      <c r="C788" t="s">
        <v>1128</v>
      </c>
      <c r="D788" t="s">
        <v>74</v>
      </c>
      <c r="E788" t="s">
        <v>1244</v>
      </c>
      <c r="F788" t="s">
        <v>1264</v>
      </c>
      <c r="G788" t="s">
        <v>60</v>
      </c>
      <c r="H788" t="s">
        <v>53</v>
      </c>
      <c r="I788">
        <v>4</v>
      </c>
      <c r="J788" s="24">
        <v>122.55</v>
      </c>
      <c r="K788" s="24">
        <f t="shared" si="24"/>
        <v>490.2</v>
      </c>
      <c r="L788" s="24">
        <v>588.26</v>
      </c>
      <c r="M788" s="2">
        <f t="shared" si="25"/>
        <v>98.06</v>
      </c>
      <c r="N788" t="str">
        <v>Low</v>
      </c>
      <c r="O788" t="s">
        <v>63</v>
      </c>
    </row>
    <row r="789" spans="1:15" x14ac:dyDescent="0.3">
      <c r="A789" t="s">
        <v>827</v>
      </c>
      <c r="B789" s="1">
        <v>46080</v>
      </c>
      <c r="C789" t="s">
        <v>1233</v>
      </c>
      <c r="D789" t="s">
        <v>72</v>
      </c>
      <c r="E789" t="s">
        <v>1242</v>
      </c>
      <c r="F789" t="s">
        <v>1259</v>
      </c>
      <c r="G789" t="s">
        <v>60</v>
      </c>
      <c r="H789" t="s">
        <v>53</v>
      </c>
      <c r="I789">
        <v>3</v>
      </c>
      <c r="J789" s="24">
        <v>402.42</v>
      </c>
      <c r="K789" s="24">
        <f t="shared" si="24"/>
        <v>1207.26</v>
      </c>
      <c r="L789" s="24">
        <v>1661.02</v>
      </c>
      <c r="M789" s="2">
        <f t="shared" si="25"/>
        <v>453.76</v>
      </c>
      <c r="N789" t="str">
        <v>Low</v>
      </c>
      <c r="O789" t="s">
        <v>64</v>
      </c>
    </row>
    <row r="790" spans="1:15" x14ac:dyDescent="0.3">
      <c r="A790" t="s">
        <v>828</v>
      </c>
      <c r="B790" s="1">
        <v>46081</v>
      </c>
      <c r="C790" t="s">
        <v>1199</v>
      </c>
      <c r="D790" t="s">
        <v>71</v>
      </c>
      <c r="E790" t="s">
        <v>1251</v>
      </c>
      <c r="F790" t="s">
        <v>1315</v>
      </c>
      <c r="G790" t="s">
        <v>60</v>
      </c>
      <c r="H790" t="s">
        <v>51</v>
      </c>
      <c r="I790">
        <v>10</v>
      </c>
      <c r="J790" s="24">
        <v>28.47</v>
      </c>
      <c r="K790" s="24">
        <f t="shared" si="24"/>
        <v>284.7</v>
      </c>
      <c r="L790" s="24">
        <v>373.68</v>
      </c>
      <c r="M790" s="2">
        <f t="shared" si="25"/>
        <v>88.980000000000018</v>
      </c>
      <c r="N790" t="str">
        <v>Low</v>
      </c>
      <c r="O790" t="s">
        <v>65</v>
      </c>
    </row>
    <row r="791" spans="1:15" x14ac:dyDescent="0.3">
      <c r="A791" t="s">
        <v>829</v>
      </c>
      <c r="B791" s="1">
        <v>46082</v>
      </c>
      <c r="C791" t="s">
        <v>1150</v>
      </c>
      <c r="D791" t="s">
        <v>74</v>
      </c>
      <c r="E791" t="s">
        <v>1244</v>
      </c>
      <c r="F791" t="s">
        <v>1264</v>
      </c>
      <c r="G791" t="s">
        <v>60</v>
      </c>
      <c r="H791" t="s">
        <v>53</v>
      </c>
      <c r="I791">
        <v>6</v>
      </c>
      <c r="J791" s="24">
        <v>92.7</v>
      </c>
      <c r="K791" s="24">
        <f t="shared" si="24"/>
        <v>556.20000000000005</v>
      </c>
      <c r="L791" s="24">
        <v>658.46</v>
      </c>
      <c r="M791" s="2">
        <f t="shared" si="25"/>
        <v>102.25999999999999</v>
      </c>
      <c r="N791" t="str">
        <v>Low</v>
      </c>
      <c r="O791" t="s">
        <v>63</v>
      </c>
    </row>
    <row r="792" spans="1:15" x14ac:dyDescent="0.3">
      <c r="A792" t="s">
        <v>830</v>
      </c>
      <c r="B792" s="1">
        <v>46083</v>
      </c>
      <c r="C792" t="s">
        <v>1165</v>
      </c>
      <c r="D792" t="s">
        <v>73</v>
      </c>
      <c r="E792" t="s">
        <v>1250</v>
      </c>
      <c r="F792" t="s">
        <v>1284</v>
      </c>
      <c r="G792" t="s">
        <v>60</v>
      </c>
      <c r="H792" t="s">
        <v>53</v>
      </c>
      <c r="I792">
        <v>6</v>
      </c>
      <c r="J792" s="24">
        <v>21.88</v>
      </c>
      <c r="K792" s="24">
        <f t="shared" si="24"/>
        <v>131.28</v>
      </c>
      <c r="L792" s="24">
        <v>194.33</v>
      </c>
      <c r="M792" s="2">
        <f t="shared" si="25"/>
        <v>63.050000000000011</v>
      </c>
      <c r="N792" t="str">
        <v>Low</v>
      </c>
      <c r="O792" t="s">
        <v>63</v>
      </c>
    </row>
    <row r="793" spans="1:15" x14ac:dyDescent="0.3">
      <c r="A793" t="s">
        <v>831</v>
      </c>
      <c r="B793" s="1">
        <v>46084</v>
      </c>
      <c r="C793" t="s">
        <v>1230</v>
      </c>
      <c r="D793" t="s">
        <v>1255</v>
      </c>
      <c r="E793" t="s">
        <v>59</v>
      </c>
      <c r="F793" t="s">
        <v>1266</v>
      </c>
      <c r="G793" t="s">
        <v>60</v>
      </c>
      <c r="H793" t="s">
        <v>52</v>
      </c>
      <c r="I793">
        <v>6</v>
      </c>
      <c r="J793" s="24">
        <v>415.61</v>
      </c>
      <c r="K793" s="24">
        <f t="shared" si="24"/>
        <v>2493.66</v>
      </c>
      <c r="L793" s="24">
        <v>3497.42</v>
      </c>
      <c r="M793" s="2">
        <f t="shared" si="25"/>
        <v>1003.7600000000002</v>
      </c>
      <c r="N793" t="str">
        <v>High</v>
      </c>
      <c r="O793" t="s">
        <v>63</v>
      </c>
    </row>
    <row r="794" spans="1:15" x14ac:dyDescent="0.3">
      <c r="A794" t="s">
        <v>832</v>
      </c>
      <c r="B794" s="1">
        <v>46085</v>
      </c>
      <c r="C794" t="s">
        <v>1092</v>
      </c>
      <c r="D794" t="s">
        <v>73</v>
      </c>
      <c r="E794" t="s">
        <v>1243</v>
      </c>
      <c r="F794" t="s">
        <v>1261</v>
      </c>
      <c r="G794" t="s">
        <v>60</v>
      </c>
      <c r="H794" t="s">
        <v>53</v>
      </c>
      <c r="I794">
        <v>2</v>
      </c>
      <c r="J794" s="24">
        <v>410.62</v>
      </c>
      <c r="K794" s="24">
        <f t="shared" si="24"/>
        <v>821.24</v>
      </c>
      <c r="L794" s="24">
        <v>1178.8399999999999</v>
      </c>
      <c r="M794" s="2">
        <f t="shared" si="25"/>
        <v>357.59999999999991</v>
      </c>
      <c r="N794" t="str">
        <v>Low</v>
      </c>
      <c r="O794" t="s">
        <v>65</v>
      </c>
    </row>
    <row r="795" spans="1:15" x14ac:dyDescent="0.3">
      <c r="A795" t="s">
        <v>833</v>
      </c>
      <c r="B795" s="1">
        <v>46086</v>
      </c>
      <c r="C795" t="s">
        <v>1095</v>
      </c>
      <c r="D795" t="s">
        <v>73</v>
      </c>
      <c r="E795" t="s">
        <v>1250</v>
      </c>
      <c r="F795" t="s">
        <v>1319</v>
      </c>
      <c r="G795" t="s">
        <v>60</v>
      </c>
      <c r="H795" t="s">
        <v>51</v>
      </c>
      <c r="I795">
        <v>2</v>
      </c>
      <c r="J795" s="24">
        <v>258.12</v>
      </c>
      <c r="K795" s="24">
        <f t="shared" si="24"/>
        <v>516.24</v>
      </c>
      <c r="L795" s="24">
        <v>634.89</v>
      </c>
      <c r="M795" s="2">
        <f t="shared" si="25"/>
        <v>118.64999999999998</v>
      </c>
      <c r="N795" t="str">
        <v>Low</v>
      </c>
      <c r="O795" t="s">
        <v>65</v>
      </c>
    </row>
    <row r="796" spans="1:15" x14ac:dyDescent="0.3">
      <c r="A796" t="s">
        <v>834</v>
      </c>
      <c r="B796" s="1">
        <v>46087</v>
      </c>
      <c r="C796" t="s">
        <v>1226</v>
      </c>
      <c r="D796" t="s">
        <v>74</v>
      </c>
      <c r="E796" t="s">
        <v>1244</v>
      </c>
      <c r="F796" t="s">
        <v>1314</v>
      </c>
      <c r="G796" t="s">
        <v>60</v>
      </c>
      <c r="H796" t="s">
        <v>52</v>
      </c>
      <c r="I796">
        <v>3</v>
      </c>
      <c r="J796" s="24">
        <v>331.72</v>
      </c>
      <c r="K796" s="24">
        <f t="shared" si="24"/>
        <v>995.16000000000008</v>
      </c>
      <c r="L796" s="24">
        <v>1239.55</v>
      </c>
      <c r="M796" s="2">
        <f t="shared" si="25"/>
        <v>244.38999999999987</v>
      </c>
      <c r="N796" t="str">
        <v>Low</v>
      </c>
      <c r="O796" t="s">
        <v>63</v>
      </c>
    </row>
    <row r="797" spans="1:15" x14ac:dyDescent="0.3">
      <c r="A797" t="s">
        <v>835</v>
      </c>
      <c r="B797" s="1">
        <v>46088</v>
      </c>
      <c r="C797" t="s">
        <v>1220</v>
      </c>
      <c r="D797" t="s">
        <v>71</v>
      </c>
      <c r="E797" t="s">
        <v>1254</v>
      </c>
      <c r="F797" t="s">
        <v>1296</v>
      </c>
      <c r="G797" t="s">
        <v>60</v>
      </c>
      <c r="H797" t="s">
        <v>54</v>
      </c>
      <c r="I797">
        <v>4</v>
      </c>
      <c r="J797" s="24">
        <v>265.11</v>
      </c>
      <c r="K797" s="24">
        <f t="shared" si="24"/>
        <v>1060.44</v>
      </c>
      <c r="L797" s="24">
        <v>1256.75</v>
      </c>
      <c r="M797" s="2">
        <f t="shared" si="25"/>
        <v>196.30999999999995</v>
      </c>
      <c r="N797" t="str">
        <v>Low</v>
      </c>
      <c r="O797" t="s">
        <v>63</v>
      </c>
    </row>
    <row r="798" spans="1:15" x14ac:dyDescent="0.3">
      <c r="A798" t="s">
        <v>836</v>
      </c>
      <c r="B798" s="1">
        <v>46089</v>
      </c>
      <c r="C798" t="s">
        <v>1188</v>
      </c>
      <c r="D798" t="s">
        <v>72</v>
      </c>
      <c r="E798" t="s">
        <v>1253</v>
      </c>
      <c r="F798" t="s">
        <v>1281</v>
      </c>
      <c r="G798" t="s">
        <v>60</v>
      </c>
      <c r="H798" t="s">
        <v>52</v>
      </c>
      <c r="I798">
        <v>9</v>
      </c>
      <c r="J798" s="24">
        <v>228.7</v>
      </c>
      <c r="K798" s="24">
        <f t="shared" si="24"/>
        <v>2058.2999999999997</v>
      </c>
      <c r="L798" s="24">
        <v>2379.62</v>
      </c>
      <c r="M798" s="2">
        <f t="shared" si="25"/>
        <v>321.32000000000016</v>
      </c>
      <c r="N798" t="str">
        <v>High</v>
      </c>
      <c r="O798" t="s">
        <v>65</v>
      </c>
    </row>
    <row r="799" spans="1:15" x14ac:dyDescent="0.3">
      <c r="A799" t="s">
        <v>837</v>
      </c>
      <c r="B799" s="1">
        <v>46090</v>
      </c>
      <c r="C799" t="s">
        <v>1236</v>
      </c>
      <c r="D799" t="s">
        <v>71</v>
      </c>
      <c r="E799" t="s">
        <v>1241</v>
      </c>
      <c r="F799" t="s">
        <v>56</v>
      </c>
      <c r="G799" t="s">
        <v>60</v>
      </c>
      <c r="H799" t="s">
        <v>54</v>
      </c>
      <c r="I799">
        <v>5</v>
      </c>
      <c r="J799" s="24">
        <v>428.1</v>
      </c>
      <c r="K799" s="24">
        <f t="shared" si="24"/>
        <v>2140.5</v>
      </c>
      <c r="L799" s="24">
        <v>2953.9</v>
      </c>
      <c r="M799" s="2">
        <f t="shared" si="25"/>
        <v>813.40000000000009</v>
      </c>
      <c r="N799" t="str">
        <v>High</v>
      </c>
      <c r="O799" t="s">
        <v>64</v>
      </c>
    </row>
    <row r="800" spans="1:15" x14ac:dyDescent="0.3">
      <c r="A800" t="s">
        <v>838</v>
      </c>
      <c r="B800" s="1">
        <v>46091</v>
      </c>
      <c r="C800" t="s">
        <v>1174</v>
      </c>
      <c r="D800" t="s">
        <v>73</v>
      </c>
      <c r="E800" t="s">
        <v>1250</v>
      </c>
      <c r="F800" t="s">
        <v>1319</v>
      </c>
      <c r="G800" t="s">
        <v>60</v>
      </c>
      <c r="H800" t="s">
        <v>52</v>
      </c>
      <c r="I800">
        <v>10</v>
      </c>
      <c r="J800" s="24">
        <v>322.83999999999997</v>
      </c>
      <c r="K800" s="24">
        <f t="shared" si="24"/>
        <v>3228.3999999999996</v>
      </c>
      <c r="L800" s="24">
        <v>3643.65</v>
      </c>
      <c r="M800" s="2">
        <f t="shared" si="25"/>
        <v>415.25000000000045</v>
      </c>
      <c r="N800" t="str">
        <v>High</v>
      </c>
      <c r="O800" t="s">
        <v>65</v>
      </c>
    </row>
    <row r="801" spans="1:15" x14ac:dyDescent="0.3">
      <c r="A801" t="s">
        <v>839</v>
      </c>
      <c r="B801" s="1">
        <v>46092</v>
      </c>
      <c r="C801" t="s">
        <v>1138</v>
      </c>
      <c r="D801" t="s">
        <v>73</v>
      </c>
      <c r="E801" t="s">
        <v>1250</v>
      </c>
      <c r="F801" t="s">
        <v>1284</v>
      </c>
      <c r="G801" t="s">
        <v>60</v>
      </c>
      <c r="H801" t="s">
        <v>51</v>
      </c>
      <c r="I801">
        <v>2</v>
      </c>
      <c r="J801" s="24">
        <v>295.08</v>
      </c>
      <c r="K801" s="24">
        <f t="shared" si="24"/>
        <v>590.16</v>
      </c>
      <c r="L801" s="24">
        <v>873.53</v>
      </c>
      <c r="M801" s="2">
        <f t="shared" si="25"/>
        <v>283.37</v>
      </c>
      <c r="N801" t="str">
        <v>Low</v>
      </c>
      <c r="O801" t="s">
        <v>65</v>
      </c>
    </row>
    <row r="802" spans="1:15" x14ac:dyDescent="0.3">
      <c r="A802" t="s">
        <v>840</v>
      </c>
      <c r="B802" s="1">
        <v>46093</v>
      </c>
      <c r="C802" t="s">
        <v>1074</v>
      </c>
      <c r="D802" t="s">
        <v>71</v>
      </c>
      <c r="E802" t="s">
        <v>1240</v>
      </c>
      <c r="F802" t="s">
        <v>1260</v>
      </c>
      <c r="G802" t="s">
        <v>60</v>
      </c>
      <c r="H802" t="s">
        <v>52</v>
      </c>
      <c r="I802">
        <v>3</v>
      </c>
      <c r="J802" s="24">
        <v>476.64</v>
      </c>
      <c r="K802" s="24">
        <f t="shared" si="24"/>
        <v>1429.92</v>
      </c>
      <c r="L802" s="24">
        <v>1849.18</v>
      </c>
      <c r="M802" s="2">
        <f t="shared" si="25"/>
        <v>419.26</v>
      </c>
      <c r="N802" t="str">
        <v>Low</v>
      </c>
      <c r="O802" t="s">
        <v>63</v>
      </c>
    </row>
    <row r="803" spans="1:15" x14ac:dyDescent="0.3">
      <c r="A803" t="s">
        <v>841</v>
      </c>
      <c r="B803" s="1">
        <v>46094</v>
      </c>
      <c r="C803" t="s">
        <v>1132</v>
      </c>
      <c r="D803" t="s">
        <v>71</v>
      </c>
      <c r="E803" t="s">
        <v>1248</v>
      </c>
      <c r="F803" t="s">
        <v>1291</v>
      </c>
      <c r="G803" t="s">
        <v>60</v>
      </c>
      <c r="H803" t="s">
        <v>51</v>
      </c>
      <c r="I803">
        <v>7</v>
      </c>
      <c r="J803" s="24">
        <v>405.22</v>
      </c>
      <c r="K803" s="24">
        <f t="shared" si="24"/>
        <v>2836.54</v>
      </c>
      <c r="L803" s="24">
        <v>4198.5600000000004</v>
      </c>
      <c r="M803" s="2">
        <f t="shared" si="25"/>
        <v>1362.0200000000004</v>
      </c>
      <c r="N803" t="str">
        <v>High</v>
      </c>
      <c r="O803" t="s">
        <v>65</v>
      </c>
    </row>
    <row r="804" spans="1:15" x14ac:dyDescent="0.3">
      <c r="A804" t="s">
        <v>842</v>
      </c>
      <c r="B804" s="1">
        <v>46095</v>
      </c>
      <c r="C804" t="s">
        <v>1191</v>
      </c>
      <c r="D804" t="s">
        <v>73</v>
      </c>
      <c r="E804" t="s">
        <v>1252</v>
      </c>
      <c r="F804" t="s">
        <v>1289</v>
      </c>
      <c r="G804" t="s">
        <v>60</v>
      </c>
      <c r="H804" t="s">
        <v>54</v>
      </c>
      <c r="I804">
        <v>3</v>
      </c>
      <c r="J804" s="24">
        <v>232.41</v>
      </c>
      <c r="K804" s="24">
        <f t="shared" si="24"/>
        <v>697.23</v>
      </c>
      <c r="L804" s="24">
        <v>1041.57</v>
      </c>
      <c r="M804" s="2">
        <f t="shared" si="25"/>
        <v>344.33999999999992</v>
      </c>
      <c r="N804" t="str">
        <v>Low</v>
      </c>
      <c r="O804" t="s">
        <v>63</v>
      </c>
    </row>
    <row r="805" spans="1:15" x14ac:dyDescent="0.3">
      <c r="A805" t="s">
        <v>843</v>
      </c>
      <c r="B805" s="1">
        <v>46096</v>
      </c>
      <c r="C805" t="s">
        <v>1238</v>
      </c>
      <c r="D805" t="s">
        <v>71</v>
      </c>
      <c r="E805" t="s">
        <v>1248</v>
      </c>
      <c r="F805" t="s">
        <v>1291</v>
      </c>
      <c r="G805" t="s">
        <v>60</v>
      </c>
      <c r="H805" t="s">
        <v>53</v>
      </c>
      <c r="I805">
        <v>3</v>
      </c>
      <c r="J805" s="24">
        <v>53.41</v>
      </c>
      <c r="K805" s="24">
        <f t="shared" si="24"/>
        <v>160.22999999999999</v>
      </c>
      <c r="L805" s="24">
        <v>176.62</v>
      </c>
      <c r="M805" s="2">
        <f t="shared" si="25"/>
        <v>16.390000000000015</v>
      </c>
      <c r="N805" t="str">
        <v>Low</v>
      </c>
      <c r="O805" t="s">
        <v>63</v>
      </c>
    </row>
    <row r="806" spans="1:15" x14ac:dyDescent="0.3">
      <c r="A806" t="s">
        <v>844</v>
      </c>
      <c r="B806" s="1">
        <v>46097</v>
      </c>
      <c r="C806" t="s">
        <v>1071</v>
      </c>
      <c r="D806" t="s">
        <v>72</v>
      </c>
      <c r="E806" t="s">
        <v>1246</v>
      </c>
      <c r="F806" t="s">
        <v>1286</v>
      </c>
      <c r="G806" t="s">
        <v>60</v>
      </c>
      <c r="H806" t="s">
        <v>53</v>
      </c>
      <c r="I806">
        <v>8</v>
      </c>
      <c r="J806" s="24">
        <v>69.84</v>
      </c>
      <c r="K806" s="24">
        <f t="shared" si="24"/>
        <v>558.72</v>
      </c>
      <c r="L806" s="24">
        <v>738.78</v>
      </c>
      <c r="M806" s="2">
        <f t="shared" si="25"/>
        <v>180.05999999999995</v>
      </c>
      <c r="N806" t="str">
        <v>Low</v>
      </c>
      <c r="O806" t="s">
        <v>64</v>
      </c>
    </row>
    <row r="807" spans="1:15" x14ac:dyDescent="0.3">
      <c r="A807" t="s">
        <v>845</v>
      </c>
      <c r="B807" s="1">
        <v>46098</v>
      </c>
      <c r="C807" t="s">
        <v>1148</v>
      </c>
      <c r="D807" t="s">
        <v>74</v>
      </c>
      <c r="E807" t="s">
        <v>1247</v>
      </c>
      <c r="F807" t="s">
        <v>1327</v>
      </c>
      <c r="G807" t="s">
        <v>60</v>
      </c>
      <c r="H807" t="s">
        <v>52</v>
      </c>
      <c r="I807">
        <v>9</v>
      </c>
      <c r="J807" s="24">
        <v>243.94</v>
      </c>
      <c r="K807" s="24">
        <f t="shared" si="24"/>
        <v>2195.46</v>
      </c>
      <c r="L807" s="24">
        <v>3039.53</v>
      </c>
      <c r="M807" s="2">
        <f t="shared" si="25"/>
        <v>844.07000000000016</v>
      </c>
      <c r="N807" t="str">
        <v>High</v>
      </c>
      <c r="O807" t="s">
        <v>63</v>
      </c>
    </row>
    <row r="808" spans="1:15" x14ac:dyDescent="0.3">
      <c r="A808" t="s">
        <v>846</v>
      </c>
      <c r="B808" s="1">
        <v>46099</v>
      </c>
      <c r="C808" t="s">
        <v>1223</v>
      </c>
      <c r="D808" t="s">
        <v>73</v>
      </c>
      <c r="E808" t="s">
        <v>1243</v>
      </c>
      <c r="F808" t="s">
        <v>1272</v>
      </c>
      <c r="G808" t="s">
        <v>60</v>
      </c>
      <c r="H808" t="s">
        <v>51</v>
      </c>
      <c r="I808">
        <v>5</v>
      </c>
      <c r="J808" s="24">
        <v>280.5</v>
      </c>
      <c r="K808" s="24">
        <f t="shared" si="24"/>
        <v>1402.5</v>
      </c>
      <c r="L808" s="24">
        <v>1861.92</v>
      </c>
      <c r="M808" s="2">
        <f t="shared" si="25"/>
        <v>459.42000000000007</v>
      </c>
      <c r="N808" t="str">
        <v>Low</v>
      </c>
      <c r="O808" t="s">
        <v>63</v>
      </c>
    </row>
    <row r="809" spans="1:15" x14ac:dyDescent="0.3">
      <c r="A809" t="s">
        <v>847</v>
      </c>
      <c r="B809" s="1">
        <v>46100</v>
      </c>
      <c r="C809" t="s">
        <v>1219</v>
      </c>
      <c r="D809" t="s">
        <v>73</v>
      </c>
      <c r="E809" t="s">
        <v>1252</v>
      </c>
      <c r="F809" t="s">
        <v>1289</v>
      </c>
      <c r="G809" t="s">
        <v>60</v>
      </c>
      <c r="H809" t="s">
        <v>52</v>
      </c>
      <c r="I809">
        <v>9</v>
      </c>
      <c r="J809" s="24">
        <v>320.26</v>
      </c>
      <c r="K809" s="24">
        <f t="shared" si="24"/>
        <v>2882.34</v>
      </c>
      <c r="L809" s="24">
        <v>3706.98</v>
      </c>
      <c r="M809" s="2">
        <f t="shared" si="25"/>
        <v>824.63999999999987</v>
      </c>
      <c r="N809" t="str">
        <v>High</v>
      </c>
      <c r="O809" t="s">
        <v>63</v>
      </c>
    </row>
    <row r="810" spans="1:15" x14ac:dyDescent="0.3">
      <c r="A810" t="s">
        <v>848</v>
      </c>
      <c r="B810" s="1">
        <v>46101</v>
      </c>
      <c r="C810" t="s">
        <v>1132</v>
      </c>
      <c r="D810" t="s">
        <v>72</v>
      </c>
      <c r="E810" t="s">
        <v>1245</v>
      </c>
      <c r="F810" t="s">
        <v>1277</v>
      </c>
      <c r="G810" t="s">
        <v>60</v>
      </c>
      <c r="H810" t="s">
        <v>53</v>
      </c>
      <c r="I810">
        <v>2</v>
      </c>
      <c r="J810" s="24">
        <v>63.74</v>
      </c>
      <c r="K810" s="24">
        <f t="shared" si="24"/>
        <v>127.48</v>
      </c>
      <c r="L810" s="24">
        <v>174.13</v>
      </c>
      <c r="M810" s="2">
        <f t="shared" si="25"/>
        <v>46.649999999999991</v>
      </c>
      <c r="N810" t="str">
        <v>Low</v>
      </c>
      <c r="O810" t="s">
        <v>64</v>
      </c>
    </row>
    <row r="811" spans="1:15" x14ac:dyDescent="0.3">
      <c r="A811" t="s">
        <v>849</v>
      </c>
      <c r="B811" s="1">
        <v>46102</v>
      </c>
      <c r="C811" t="s">
        <v>1182</v>
      </c>
      <c r="D811" t="s">
        <v>72</v>
      </c>
      <c r="E811" t="s">
        <v>1245</v>
      </c>
      <c r="F811" t="s">
        <v>1277</v>
      </c>
      <c r="G811" t="s">
        <v>60</v>
      </c>
      <c r="H811" t="s">
        <v>52</v>
      </c>
      <c r="I811">
        <v>2</v>
      </c>
      <c r="J811" s="24">
        <v>388.93</v>
      </c>
      <c r="K811" s="24">
        <f t="shared" si="24"/>
        <v>777.86</v>
      </c>
      <c r="L811" s="24">
        <v>866.48</v>
      </c>
      <c r="M811" s="2">
        <f t="shared" si="25"/>
        <v>88.62</v>
      </c>
      <c r="N811" t="str">
        <v>Low</v>
      </c>
      <c r="O811" t="s">
        <v>64</v>
      </c>
    </row>
    <row r="812" spans="1:15" x14ac:dyDescent="0.3">
      <c r="A812" t="s">
        <v>850</v>
      </c>
      <c r="B812" s="1">
        <v>46103</v>
      </c>
      <c r="C812" t="s">
        <v>1166</v>
      </c>
      <c r="D812" t="s">
        <v>71</v>
      </c>
      <c r="E812" t="s">
        <v>1248</v>
      </c>
      <c r="F812" t="s">
        <v>1269</v>
      </c>
      <c r="G812" t="s">
        <v>60</v>
      </c>
      <c r="H812" t="s">
        <v>53</v>
      </c>
      <c r="I812">
        <v>9</v>
      </c>
      <c r="J812" s="24">
        <v>174.24</v>
      </c>
      <c r="K812" s="24">
        <f t="shared" si="24"/>
        <v>1568.16</v>
      </c>
      <c r="L812" s="24">
        <v>2160.86</v>
      </c>
      <c r="M812" s="2">
        <f t="shared" si="25"/>
        <v>592.70000000000005</v>
      </c>
      <c r="N812" t="str">
        <v>High</v>
      </c>
      <c r="O812" t="s">
        <v>63</v>
      </c>
    </row>
    <row r="813" spans="1:15" x14ac:dyDescent="0.3">
      <c r="A813" t="s">
        <v>851</v>
      </c>
      <c r="B813" s="1">
        <v>46104</v>
      </c>
      <c r="C813" t="s">
        <v>1048</v>
      </c>
      <c r="D813" t="s">
        <v>72</v>
      </c>
      <c r="E813" t="s">
        <v>1253</v>
      </c>
      <c r="F813" t="s">
        <v>1298</v>
      </c>
      <c r="G813" t="s">
        <v>60</v>
      </c>
      <c r="H813" t="s">
        <v>54</v>
      </c>
      <c r="I813">
        <v>4</v>
      </c>
      <c r="J813" s="24">
        <v>364.45</v>
      </c>
      <c r="K813" s="24">
        <f t="shared" si="24"/>
        <v>1457.8</v>
      </c>
      <c r="L813" s="24">
        <v>1778.78</v>
      </c>
      <c r="M813" s="2">
        <f t="shared" si="25"/>
        <v>320.98</v>
      </c>
      <c r="N813" t="str">
        <v>Low</v>
      </c>
      <c r="O813" t="s">
        <v>63</v>
      </c>
    </row>
    <row r="814" spans="1:15" x14ac:dyDescent="0.3">
      <c r="A814" t="s">
        <v>852</v>
      </c>
      <c r="B814" s="1">
        <v>46105</v>
      </c>
      <c r="C814" t="s">
        <v>1172</v>
      </c>
      <c r="D814" t="s">
        <v>71</v>
      </c>
      <c r="E814" t="s">
        <v>1254</v>
      </c>
      <c r="F814" t="s">
        <v>1322</v>
      </c>
      <c r="G814" t="s">
        <v>60</v>
      </c>
      <c r="H814" t="s">
        <v>51</v>
      </c>
      <c r="I814">
        <v>1</v>
      </c>
      <c r="J814" s="24">
        <v>448.75</v>
      </c>
      <c r="K814" s="24">
        <f t="shared" si="24"/>
        <v>448.75</v>
      </c>
      <c r="L814" s="24">
        <v>540.04999999999995</v>
      </c>
      <c r="M814" s="2">
        <f t="shared" si="25"/>
        <v>91.299999999999955</v>
      </c>
      <c r="N814" t="str">
        <v>Low</v>
      </c>
      <c r="O814" t="s">
        <v>65</v>
      </c>
    </row>
    <row r="815" spans="1:15" x14ac:dyDescent="0.3">
      <c r="A815" t="s">
        <v>853</v>
      </c>
      <c r="B815" s="1">
        <v>46106</v>
      </c>
      <c r="C815" t="s">
        <v>1125</v>
      </c>
      <c r="D815" t="s">
        <v>73</v>
      </c>
      <c r="E815" t="s">
        <v>1252</v>
      </c>
      <c r="F815" t="s">
        <v>1278</v>
      </c>
      <c r="G815" t="s">
        <v>60</v>
      </c>
      <c r="H815" t="s">
        <v>53</v>
      </c>
      <c r="I815">
        <v>9</v>
      </c>
      <c r="J815" s="24">
        <v>31.41</v>
      </c>
      <c r="K815" s="24">
        <f t="shared" si="24"/>
        <v>282.69</v>
      </c>
      <c r="L815" s="24">
        <v>408</v>
      </c>
      <c r="M815" s="2">
        <f t="shared" si="25"/>
        <v>125.31</v>
      </c>
      <c r="N815" t="str">
        <v>Low</v>
      </c>
      <c r="O815" t="s">
        <v>64</v>
      </c>
    </row>
    <row r="816" spans="1:15" x14ac:dyDescent="0.3">
      <c r="A816" t="s">
        <v>854</v>
      </c>
      <c r="B816" s="1">
        <v>46107</v>
      </c>
      <c r="C816" t="s">
        <v>1061</v>
      </c>
      <c r="D816" t="s">
        <v>71</v>
      </c>
      <c r="E816" t="s">
        <v>1251</v>
      </c>
      <c r="F816" t="s">
        <v>1326</v>
      </c>
      <c r="G816" t="s">
        <v>60</v>
      </c>
      <c r="H816" t="s">
        <v>53</v>
      </c>
      <c r="I816">
        <v>1</v>
      </c>
      <c r="J816" s="24">
        <v>26.18</v>
      </c>
      <c r="K816" s="24">
        <f t="shared" si="24"/>
        <v>26.18</v>
      </c>
      <c r="L816" s="24">
        <v>34.81</v>
      </c>
      <c r="M816" s="2">
        <f t="shared" si="25"/>
        <v>8.6300000000000026</v>
      </c>
      <c r="N816" t="str">
        <v>Low</v>
      </c>
      <c r="O816" t="s">
        <v>63</v>
      </c>
    </row>
    <row r="817" spans="1:15" x14ac:dyDescent="0.3">
      <c r="A817" t="s">
        <v>855</v>
      </c>
      <c r="B817" s="1">
        <v>46108</v>
      </c>
      <c r="C817" t="s">
        <v>1057</v>
      </c>
      <c r="D817" t="s">
        <v>73</v>
      </c>
      <c r="E817" t="s">
        <v>1252</v>
      </c>
      <c r="F817" t="s">
        <v>1289</v>
      </c>
      <c r="G817" t="s">
        <v>60</v>
      </c>
      <c r="H817" t="s">
        <v>51</v>
      </c>
      <c r="I817">
        <v>7</v>
      </c>
      <c r="J817" s="24">
        <v>50.33</v>
      </c>
      <c r="K817" s="24">
        <f t="shared" si="24"/>
        <v>352.31</v>
      </c>
      <c r="L817" s="24">
        <v>414.41</v>
      </c>
      <c r="M817" s="2">
        <f t="shared" si="25"/>
        <v>62.100000000000023</v>
      </c>
      <c r="N817" t="str">
        <v>Low</v>
      </c>
      <c r="O817" t="s">
        <v>63</v>
      </c>
    </row>
    <row r="818" spans="1:15" x14ac:dyDescent="0.3">
      <c r="A818" t="s">
        <v>856</v>
      </c>
      <c r="B818" s="1">
        <v>46109</v>
      </c>
      <c r="C818" t="s">
        <v>1077</v>
      </c>
      <c r="D818" t="s">
        <v>71</v>
      </c>
      <c r="E818" t="s">
        <v>1241</v>
      </c>
      <c r="F818" t="s">
        <v>56</v>
      </c>
      <c r="G818" t="s">
        <v>60</v>
      </c>
      <c r="H818" t="s">
        <v>53</v>
      </c>
      <c r="I818">
        <v>5</v>
      </c>
      <c r="J818" s="24">
        <v>393.55</v>
      </c>
      <c r="K818" s="24">
        <f t="shared" si="24"/>
        <v>1967.75</v>
      </c>
      <c r="L818" s="24">
        <v>2694.44</v>
      </c>
      <c r="M818" s="2">
        <f t="shared" si="25"/>
        <v>726.69</v>
      </c>
      <c r="N818" t="str">
        <v>High</v>
      </c>
      <c r="O818" t="s">
        <v>63</v>
      </c>
    </row>
    <row r="819" spans="1:15" x14ac:dyDescent="0.3">
      <c r="A819" t="s">
        <v>857</v>
      </c>
      <c r="B819" s="1">
        <v>46110</v>
      </c>
      <c r="C819" t="s">
        <v>1084</v>
      </c>
      <c r="D819" t="s">
        <v>73</v>
      </c>
      <c r="E819" t="s">
        <v>1250</v>
      </c>
      <c r="F819" t="s">
        <v>1309</v>
      </c>
      <c r="G819" t="s">
        <v>60</v>
      </c>
      <c r="H819" t="s">
        <v>54</v>
      </c>
      <c r="I819">
        <v>8</v>
      </c>
      <c r="J819" s="24">
        <v>361.52</v>
      </c>
      <c r="K819" s="24">
        <f t="shared" si="24"/>
        <v>2892.16</v>
      </c>
      <c r="L819" s="24">
        <v>3286.18</v>
      </c>
      <c r="M819" s="2">
        <f t="shared" si="25"/>
        <v>394.02</v>
      </c>
      <c r="N819" t="str">
        <v>High</v>
      </c>
      <c r="O819" t="s">
        <v>64</v>
      </c>
    </row>
    <row r="820" spans="1:15" x14ac:dyDescent="0.3">
      <c r="A820" t="s">
        <v>858</v>
      </c>
      <c r="B820" s="1">
        <v>46111</v>
      </c>
      <c r="C820" t="s">
        <v>1049</v>
      </c>
      <c r="D820" t="s">
        <v>72</v>
      </c>
      <c r="E820" t="s">
        <v>1253</v>
      </c>
      <c r="F820" t="s">
        <v>1331</v>
      </c>
      <c r="G820" t="s">
        <v>60</v>
      </c>
      <c r="H820" t="s">
        <v>53</v>
      </c>
      <c r="I820">
        <v>1</v>
      </c>
      <c r="J820" s="24">
        <v>423.77</v>
      </c>
      <c r="K820" s="24">
        <f t="shared" si="24"/>
        <v>423.77</v>
      </c>
      <c r="L820" s="24">
        <v>595.14</v>
      </c>
      <c r="M820" s="2">
        <f t="shared" si="25"/>
        <v>171.37</v>
      </c>
      <c r="N820" t="str">
        <v>Low</v>
      </c>
      <c r="O820" t="s">
        <v>65</v>
      </c>
    </row>
    <row r="821" spans="1:15" x14ac:dyDescent="0.3">
      <c r="A821" t="s">
        <v>859</v>
      </c>
      <c r="B821" s="1">
        <v>46112</v>
      </c>
      <c r="C821" t="s">
        <v>1103</v>
      </c>
      <c r="D821" t="s">
        <v>72</v>
      </c>
      <c r="E821" t="s">
        <v>1253</v>
      </c>
      <c r="F821" t="s">
        <v>1281</v>
      </c>
      <c r="G821" t="s">
        <v>60</v>
      </c>
      <c r="H821" t="s">
        <v>54</v>
      </c>
      <c r="I821">
        <v>1</v>
      </c>
      <c r="J821" s="24">
        <v>383.09</v>
      </c>
      <c r="K821" s="24">
        <f t="shared" si="24"/>
        <v>383.09</v>
      </c>
      <c r="L821" s="24">
        <v>565.65</v>
      </c>
      <c r="M821" s="2">
        <f t="shared" si="25"/>
        <v>182.56</v>
      </c>
      <c r="N821" t="str">
        <v>Low</v>
      </c>
      <c r="O821" t="s">
        <v>64</v>
      </c>
    </row>
    <row r="822" spans="1:15" x14ac:dyDescent="0.3">
      <c r="A822" t="s">
        <v>860</v>
      </c>
      <c r="B822" s="1">
        <v>46113</v>
      </c>
      <c r="C822" t="s">
        <v>1164</v>
      </c>
      <c r="D822" t="s">
        <v>74</v>
      </c>
      <c r="E822" t="s">
        <v>1247</v>
      </c>
      <c r="F822" t="s">
        <v>1268</v>
      </c>
      <c r="G822" t="s">
        <v>60</v>
      </c>
      <c r="H822" t="s">
        <v>53</v>
      </c>
      <c r="I822">
        <v>10</v>
      </c>
      <c r="J822" s="24">
        <v>264.41000000000003</v>
      </c>
      <c r="K822" s="24">
        <f t="shared" si="24"/>
        <v>2644.1000000000004</v>
      </c>
      <c r="L822" s="24">
        <v>2933.23</v>
      </c>
      <c r="M822" s="2">
        <f t="shared" si="25"/>
        <v>289.12999999999965</v>
      </c>
      <c r="N822" t="str">
        <v>High</v>
      </c>
      <c r="O822" t="s">
        <v>65</v>
      </c>
    </row>
    <row r="823" spans="1:15" x14ac:dyDescent="0.3">
      <c r="A823" t="s">
        <v>861</v>
      </c>
      <c r="B823" s="1">
        <v>46114</v>
      </c>
      <c r="C823" t="s">
        <v>1233</v>
      </c>
      <c r="D823" t="s">
        <v>71</v>
      </c>
      <c r="E823" t="s">
        <v>1254</v>
      </c>
      <c r="F823" t="s">
        <v>1322</v>
      </c>
      <c r="G823" t="s">
        <v>60</v>
      </c>
      <c r="H823" t="s">
        <v>54</v>
      </c>
      <c r="I823">
        <v>2</v>
      </c>
      <c r="J823" s="24">
        <v>132.52000000000001</v>
      </c>
      <c r="K823" s="24">
        <f t="shared" si="24"/>
        <v>265.04000000000002</v>
      </c>
      <c r="L823" s="24">
        <v>312.25</v>
      </c>
      <c r="M823" s="2">
        <f t="shared" si="25"/>
        <v>47.20999999999998</v>
      </c>
      <c r="N823" t="str">
        <v>Low</v>
      </c>
      <c r="O823" t="s">
        <v>65</v>
      </c>
    </row>
    <row r="824" spans="1:15" x14ac:dyDescent="0.3">
      <c r="A824" t="s">
        <v>862</v>
      </c>
      <c r="B824" s="1">
        <v>46115</v>
      </c>
      <c r="C824" t="s">
        <v>1211</v>
      </c>
      <c r="D824" t="s">
        <v>71</v>
      </c>
      <c r="E824" t="s">
        <v>1241</v>
      </c>
      <c r="F824" t="s">
        <v>56</v>
      </c>
      <c r="G824" t="s">
        <v>60</v>
      </c>
      <c r="H824" t="s">
        <v>53</v>
      </c>
      <c r="I824">
        <v>7</v>
      </c>
      <c r="J824" s="24">
        <v>266.18</v>
      </c>
      <c r="K824" s="24">
        <f t="shared" si="24"/>
        <v>1863.26</v>
      </c>
      <c r="L824" s="24">
        <v>2292.13</v>
      </c>
      <c r="M824" s="2">
        <f t="shared" si="25"/>
        <v>428.87000000000012</v>
      </c>
      <c r="N824" t="str">
        <v>High</v>
      </c>
      <c r="O824" t="s">
        <v>65</v>
      </c>
    </row>
    <row r="825" spans="1:15" x14ac:dyDescent="0.3">
      <c r="A825" t="s">
        <v>863</v>
      </c>
      <c r="B825" s="1">
        <v>46116</v>
      </c>
      <c r="C825" t="s">
        <v>1067</v>
      </c>
      <c r="D825" t="s">
        <v>1255</v>
      </c>
      <c r="E825" t="s">
        <v>59</v>
      </c>
      <c r="F825" t="s">
        <v>1262</v>
      </c>
      <c r="G825" t="s">
        <v>60</v>
      </c>
      <c r="H825" t="s">
        <v>52</v>
      </c>
      <c r="I825">
        <v>7</v>
      </c>
      <c r="J825" s="24">
        <v>325.91000000000003</v>
      </c>
      <c r="K825" s="24">
        <f t="shared" si="24"/>
        <v>2281.3700000000003</v>
      </c>
      <c r="L825" s="24">
        <v>2975.97</v>
      </c>
      <c r="M825" s="2">
        <f t="shared" si="25"/>
        <v>694.59999999999945</v>
      </c>
      <c r="N825" t="str">
        <v>High</v>
      </c>
      <c r="O825" t="s">
        <v>64</v>
      </c>
    </row>
    <row r="826" spans="1:15" x14ac:dyDescent="0.3">
      <c r="A826" t="s">
        <v>864</v>
      </c>
      <c r="B826" s="1">
        <v>46117</v>
      </c>
      <c r="C826" t="s">
        <v>1185</v>
      </c>
      <c r="D826" t="s">
        <v>1255</v>
      </c>
      <c r="E826" t="s">
        <v>59</v>
      </c>
      <c r="F826" t="s">
        <v>1295</v>
      </c>
      <c r="G826" t="s">
        <v>60</v>
      </c>
      <c r="H826" t="s">
        <v>52</v>
      </c>
      <c r="I826">
        <v>6</v>
      </c>
      <c r="J826" s="24">
        <v>213.37</v>
      </c>
      <c r="K826" s="24">
        <f t="shared" si="24"/>
        <v>1280.22</v>
      </c>
      <c r="L826" s="24">
        <v>1429.04</v>
      </c>
      <c r="M826" s="2">
        <f t="shared" si="25"/>
        <v>148.81999999999994</v>
      </c>
      <c r="N826" t="str">
        <v>Low</v>
      </c>
      <c r="O826" t="s">
        <v>63</v>
      </c>
    </row>
    <row r="827" spans="1:15" x14ac:dyDescent="0.3">
      <c r="A827" t="s">
        <v>865</v>
      </c>
      <c r="B827" s="1">
        <v>46118</v>
      </c>
      <c r="C827" t="s">
        <v>1163</v>
      </c>
      <c r="D827" t="s">
        <v>74</v>
      </c>
      <c r="E827" t="s">
        <v>1247</v>
      </c>
      <c r="F827" t="s">
        <v>1285</v>
      </c>
      <c r="G827" t="s">
        <v>60</v>
      </c>
      <c r="H827" t="s">
        <v>54</v>
      </c>
      <c r="I827">
        <v>4</v>
      </c>
      <c r="J827" s="24">
        <v>256.29000000000002</v>
      </c>
      <c r="K827" s="24">
        <f t="shared" si="24"/>
        <v>1025.1600000000001</v>
      </c>
      <c r="L827" s="24">
        <v>1180.93</v>
      </c>
      <c r="M827" s="2">
        <f t="shared" si="25"/>
        <v>155.76999999999998</v>
      </c>
      <c r="N827" t="str">
        <v>Low</v>
      </c>
      <c r="O827" t="s">
        <v>63</v>
      </c>
    </row>
    <row r="828" spans="1:15" x14ac:dyDescent="0.3">
      <c r="A828" t="s">
        <v>866</v>
      </c>
      <c r="B828" s="1">
        <v>46119</v>
      </c>
      <c r="C828" t="s">
        <v>1151</v>
      </c>
      <c r="D828" t="s">
        <v>71</v>
      </c>
      <c r="E828" t="s">
        <v>1251</v>
      </c>
      <c r="F828" t="s">
        <v>1326</v>
      </c>
      <c r="G828" t="s">
        <v>60</v>
      </c>
      <c r="H828" t="s">
        <v>54</v>
      </c>
      <c r="I828">
        <v>9</v>
      </c>
      <c r="J828" s="24">
        <v>190.49</v>
      </c>
      <c r="K828" s="24">
        <f t="shared" si="24"/>
        <v>1714.41</v>
      </c>
      <c r="L828" s="24">
        <v>1907.53</v>
      </c>
      <c r="M828" s="2">
        <f t="shared" si="25"/>
        <v>193.11999999999989</v>
      </c>
      <c r="N828" t="str">
        <v>Low</v>
      </c>
      <c r="O828" t="s">
        <v>63</v>
      </c>
    </row>
    <row r="829" spans="1:15" x14ac:dyDescent="0.3">
      <c r="A829" t="s">
        <v>867</v>
      </c>
      <c r="B829" s="1">
        <v>46120</v>
      </c>
      <c r="C829" t="s">
        <v>1098</v>
      </c>
      <c r="D829" t="s">
        <v>71</v>
      </c>
      <c r="E829" t="s">
        <v>1240</v>
      </c>
      <c r="F829" t="s">
        <v>1258</v>
      </c>
      <c r="G829" t="s">
        <v>60</v>
      </c>
      <c r="H829" t="s">
        <v>51</v>
      </c>
      <c r="I829">
        <v>8</v>
      </c>
      <c r="J829" s="24">
        <v>23.78</v>
      </c>
      <c r="K829" s="24">
        <f t="shared" si="24"/>
        <v>190.24</v>
      </c>
      <c r="L829" s="24">
        <v>252.31</v>
      </c>
      <c r="M829" s="2">
        <f t="shared" si="25"/>
        <v>62.069999999999993</v>
      </c>
      <c r="N829" t="str">
        <v>Low</v>
      </c>
      <c r="O829" t="s">
        <v>64</v>
      </c>
    </row>
    <row r="830" spans="1:15" x14ac:dyDescent="0.3">
      <c r="A830" t="s">
        <v>868</v>
      </c>
      <c r="B830" s="1">
        <v>46121</v>
      </c>
      <c r="C830" t="s">
        <v>1226</v>
      </c>
      <c r="D830" t="s">
        <v>71</v>
      </c>
      <c r="E830" t="s">
        <v>1248</v>
      </c>
      <c r="F830" t="s">
        <v>1269</v>
      </c>
      <c r="G830" t="s">
        <v>60</v>
      </c>
      <c r="H830" t="s">
        <v>52</v>
      </c>
      <c r="I830">
        <v>8</v>
      </c>
      <c r="J830" s="24">
        <v>449.09</v>
      </c>
      <c r="K830" s="24">
        <f t="shared" si="24"/>
        <v>3592.72</v>
      </c>
      <c r="L830" s="24">
        <v>5268.12</v>
      </c>
      <c r="M830" s="2">
        <f t="shared" si="25"/>
        <v>1675.4</v>
      </c>
      <c r="N830" t="str">
        <v>High</v>
      </c>
      <c r="O830" t="s">
        <v>64</v>
      </c>
    </row>
    <row r="831" spans="1:15" x14ac:dyDescent="0.3">
      <c r="A831" t="s">
        <v>869</v>
      </c>
      <c r="B831" s="1">
        <v>46122</v>
      </c>
      <c r="C831" t="s">
        <v>1046</v>
      </c>
      <c r="D831" t="s">
        <v>71</v>
      </c>
      <c r="E831" t="s">
        <v>1251</v>
      </c>
      <c r="F831" t="s">
        <v>1315</v>
      </c>
      <c r="G831" t="s">
        <v>60</v>
      </c>
      <c r="H831" t="s">
        <v>53</v>
      </c>
      <c r="I831">
        <v>5</v>
      </c>
      <c r="J831" s="24">
        <v>438.93</v>
      </c>
      <c r="K831" s="24">
        <f t="shared" si="24"/>
        <v>2194.65</v>
      </c>
      <c r="L831" s="24">
        <v>2859.86</v>
      </c>
      <c r="M831" s="2">
        <f t="shared" si="25"/>
        <v>665.21</v>
      </c>
      <c r="N831" t="str">
        <v>High</v>
      </c>
      <c r="O831" t="s">
        <v>64</v>
      </c>
    </row>
    <row r="832" spans="1:15" x14ac:dyDescent="0.3">
      <c r="A832" t="s">
        <v>870</v>
      </c>
      <c r="B832" s="1">
        <v>46123</v>
      </c>
      <c r="C832" t="s">
        <v>1175</v>
      </c>
      <c r="D832" t="s">
        <v>1255</v>
      </c>
      <c r="E832" t="s">
        <v>59</v>
      </c>
      <c r="F832" t="s">
        <v>1266</v>
      </c>
      <c r="G832" t="s">
        <v>60</v>
      </c>
      <c r="H832" t="s">
        <v>51</v>
      </c>
      <c r="I832">
        <v>3</v>
      </c>
      <c r="J832" s="24">
        <v>53.91</v>
      </c>
      <c r="K832" s="24">
        <f t="shared" si="24"/>
        <v>161.72999999999999</v>
      </c>
      <c r="L832" s="24">
        <v>207.04</v>
      </c>
      <c r="M832" s="2">
        <f t="shared" si="25"/>
        <v>45.31</v>
      </c>
      <c r="N832" t="str">
        <v>Low</v>
      </c>
      <c r="O832" t="s">
        <v>64</v>
      </c>
    </row>
    <row r="833" spans="1:15" x14ac:dyDescent="0.3">
      <c r="A833" t="s">
        <v>871</v>
      </c>
      <c r="B833" s="1">
        <v>46124</v>
      </c>
      <c r="C833" t="s">
        <v>1095</v>
      </c>
      <c r="D833" t="s">
        <v>72</v>
      </c>
      <c r="E833" t="s">
        <v>1246</v>
      </c>
      <c r="F833" t="s">
        <v>1282</v>
      </c>
      <c r="G833" t="s">
        <v>60</v>
      </c>
      <c r="H833" t="s">
        <v>54</v>
      </c>
      <c r="I833">
        <v>10</v>
      </c>
      <c r="J833" s="24">
        <v>316.95</v>
      </c>
      <c r="K833" s="24">
        <f t="shared" si="24"/>
        <v>3169.5</v>
      </c>
      <c r="L833" s="24">
        <v>4624.05</v>
      </c>
      <c r="M833" s="2">
        <f t="shared" si="25"/>
        <v>1454.5500000000002</v>
      </c>
      <c r="N833" t="str">
        <v>High</v>
      </c>
      <c r="O833" t="s">
        <v>65</v>
      </c>
    </row>
    <row r="834" spans="1:15" x14ac:dyDescent="0.3">
      <c r="A834" t="s">
        <v>872</v>
      </c>
      <c r="B834" s="1">
        <v>46125</v>
      </c>
      <c r="C834" t="s">
        <v>1208</v>
      </c>
      <c r="D834" t="s">
        <v>72</v>
      </c>
      <c r="E834" t="s">
        <v>1246</v>
      </c>
      <c r="F834" t="s">
        <v>1300</v>
      </c>
      <c r="G834" t="s">
        <v>60</v>
      </c>
      <c r="H834" t="s">
        <v>51</v>
      </c>
      <c r="I834">
        <v>9</v>
      </c>
      <c r="J834" s="24">
        <v>279.41000000000003</v>
      </c>
      <c r="K834" s="24">
        <f t="shared" si="24"/>
        <v>2514.69</v>
      </c>
      <c r="L834" s="24">
        <v>2973.59</v>
      </c>
      <c r="M834" s="2">
        <f t="shared" si="25"/>
        <v>458.90000000000009</v>
      </c>
      <c r="N834" t="str">
        <v>High</v>
      </c>
      <c r="O834" t="s">
        <v>63</v>
      </c>
    </row>
    <row r="835" spans="1:15" x14ac:dyDescent="0.3">
      <c r="A835" t="s">
        <v>873</v>
      </c>
      <c r="B835" s="1">
        <v>46126</v>
      </c>
      <c r="C835" t="s">
        <v>1053</v>
      </c>
      <c r="D835" t="s">
        <v>73</v>
      </c>
      <c r="E835" t="s">
        <v>1250</v>
      </c>
      <c r="F835" t="s">
        <v>1274</v>
      </c>
      <c r="G835" t="s">
        <v>60</v>
      </c>
      <c r="H835" t="s">
        <v>53</v>
      </c>
      <c r="I835">
        <v>6</v>
      </c>
      <c r="J835" s="24">
        <v>420.95</v>
      </c>
      <c r="K835" s="24">
        <f t="shared" ref="K835:K898" si="26">J835*I835</f>
        <v>2525.6999999999998</v>
      </c>
      <c r="L835" s="24">
        <v>3725.95</v>
      </c>
      <c r="M835" s="2">
        <f t="shared" ref="M835:M898" si="27">L835-K835</f>
        <v>1200.25</v>
      </c>
      <c r="N835" t="str">
        <v>High</v>
      </c>
      <c r="O835" t="s">
        <v>65</v>
      </c>
    </row>
    <row r="836" spans="1:15" x14ac:dyDescent="0.3">
      <c r="A836" t="s">
        <v>874</v>
      </c>
      <c r="B836" s="1">
        <v>46127</v>
      </c>
      <c r="C836" t="s">
        <v>1145</v>
      </c>
      <c r="D836" t="s">
        <v>1255</v>
      </c>
      <c r="E836" t="s">
        <v>59</v>
      </c>
      <c r="F836" t="s">
        <v>1323</v>
      </c>
      <c r="G836" t="s">
        <v>60</v>
      </c>
      <c r="H836" t="s">
        <v>54</v>
      </c>
      <c r="I836">
        <v>1</v>
      </c>
      <c r="J836" s="24">
        <v>411.55</v>
      </c>
      <c r="K836" s="24">
        <f t="shared" si="26"/>
        <v>411.55</v>
      </c>
      <c r="L836" s="24">
        <v>529.82000000000005</v>
      </c>
      <c r="M836" s="2">
        <f t="shared" si="27"/>
        <v>118.27000000000004</v>
      </c>
      <c r="N836" t="str">
        <v>Low</v>
      </c>
      <c r="O836" t="s">
        <v>63</v>
      </c>
    </row>
    <row r="837" spans="1:15" x14ac:dyDescent="0.3">
      <c r="A837" t="s">
        <v>875</v>
      </c>
      <c r="B837" s="1">
        <v>46128</v>
      </c>
      <c r="C837" t="s">
        <v>1215</v>
      </c>
      <c r="D837" t="s">
        <v>73</v>
      </c>
      <c r="E837" t="s">
        <v>1252</v>
      </c>
      <c r="F837" t="s">
        <v>1297</v>
      </c>
      <c r="G837" t="s">
        <v>60</v>
      </c>
      <c r="H837" t="s">
        <v>54</v>
      </c>
      <c r="I837">
        <v>4</v>
      </c>
      <c r="J837" s="24">
        <v>140.52000000000001</v>
      </c>
      <c r="K837" s="24">
        <f t="shared" si="26"/>
        <v>562.08000000000004</v>
      </c>
      <c r="L837" s="24">
        <v>756.25</v>
      </c>
      <c r="M837" s="2">
        <f t="shared" si="27"/>
        <v>194.16999999999996</v>
      </c>
      <c r="N837" t="str">
        <v>Low</v>
      </c>
      <c r="O837" t="s">
        <v>65</v>
      </c>
    </row>
    <row r="838" spans="1:15" x14ac:dyDescent="0.3">
      <c r="A838" t="s">
        <v>876</v>
      </c>
      <c r="B838" s="1">
        <v>46129</v>
      </c>
      <c r="C838" t="s">
        <v>1230</v>
      </c>
      <c r="D838" t="s">
        <v>72</v>
      </c>
      <c r="E838" t="s">
        <v>1253</v>
      </c>
      <c r="F838" t="s">
        <v>1281</v>
      </c>
      <c r="G838" t="s">
        <v>60</v>
      </c>
      <c r="H838" t="s">
        <v>52</v>
      </c>
      <c r="I838">
        <v>7</v>
      </c>
      <c r="J838" s="24">
        <v>207.17</v>
      </c>
      <c r="K838" s="24">
        <f t="shared" si="26"/>
        <v>1450.1899999999998</v>
      </c>
      <c r="L838" s="24">
        <v>1668.52</v>
      </c>
      <c r="M838" s="2">
        <f t="shared" si="27"/>
        <v>218.33000000000015</v>
      </c>
      <c r="N838" t="str">
        <v>Low</v>
      </c>
      <c r="O838" t="s">
        <v>65</v>
      </c>
    </row>
    <row r="839" spans="1:15" x14ac:dyDescent="0.3">
      <c r="A839" t="s">
        <v>877</v>
      </c>
      <c r="B839" s="1">
        <v>46130</v>
      </c>
      <c r="C839" t="s">
        <v>1041</v>
      </c>
      <c r="D839" t="s">
        <v>74</v>
      </c>
      <c r="E839" t="s">
        <v>1247</v>
      </c>
      <c r="F839" t="s">
        <v>1316</v>
      </c>
      <c r="G839" t="s">
        <v>60</v>
      </c>
      <c r="H839" t="s">
        <v>53</v>
      </c>
      <c r="I839">
        <v>5</v>
      </c>
      <c r="J839" s="24">
        <v>391.44</v>
      </c>
      <c r="K839" s="24">
        <f t="shared" si="26"/>
        <v>1957.2</v>
      </c>
      <c r="L839" s="24">
        <v>2267.1999999999998</v>
      </c>
      <c r="M839" s="2">
        <f t="shared" si="27"/>
        <v>309.99999999999977</v>
      </c>
      <c r="N839" t="str">
        <v>High</v>
      </c>
      <c r="O839" t="s">
        <v>64</v>
      </c>
    </row>
    <row r="840" spans="1:15" x14ac:dyDescent="0.3">
      <c r="A840" t="s">
        <v>878</v>
      </c>
      <c r="B840" s="1">
        <v>46131</v>
      </c>
      <c r="C840" t="s">
        <v>1087</v>
      </c>
      <c r="D840" t="s">
        <v>74</v>
      </c>
      <c r="E840" t="s">
        <v>1249</v>
      </c>
      <c r="F840" t="s">
        <v>1308</v>
      </c>
      <c r="G840" t="s">
        <v>60</v>
      </c>
      <c r="H840" t="s">
        <v>53</v>
      </c>
      <c r="I840">
        <v>10</v>
      </c>
      <c r="J840" s="24">
        <v>47.47</v>
      </c>
      <c r="K840" s="24">
        <f t="shared" si="26"/>
        <v>474.7</v>
      </c>
      <c r="L840" s="24">
        <v>626.98</v>
      </c>
      <c r="M840" s="2">
        <f t="shared" si="27"/>
        <v>152.28000000000003</v>
      </c>
      <c r="N840" t="str">
        <v>Low</v>
      </c>
      <c r="O840" t="s">
        <v>65</v>
      </c>
    </row>
    <row r="841" spans="1:15" x14ac:dyDescent="0.3">
      <c r="A841" t="s">
        <v>879</v>
      </c>
      <c r="B841" s="1">
        <v>46132</v>
      </c>
      <c r="C841" t="s">
        <v>1206</v>
      </c>
      <c r="D841" t="s">
        <v>72</v>
      </c>
      <c r="E841" t="s">
        <v>1246</v>
      </c>
      <c r="F841" t="s">
        <v>1300</v>
      </c>
      <c r="G841" t="s">
        <v>60</v>
      </c>
      <c r="H841" t="s">
        <v>53</v>
      </c>
      <c r="I841">
        <v>3</v>
      </c>
      <c r="J841" s="24">
        <v>488.05</v>
      </c>
      <c r="K841" s="24">
        <f t="shared" si="26"/>
        <v>1464.15</v>
      </c>
      <c r="L841" s="24">
        <v>2031.63</v>
      </c>
      <c r="M841" s="2">
        <f t="shared" si="27"/>
        <v>567.48</v>
      </c>
      <c r="N841" t="str">
        <v>High</v>
      </c>
      <c r="O841" t="s">
        <v>64</v>
      </c>
    </row>
    <row r="842" spans="1:15" x14ac:dyDescent="0.3">
      <c r="A842" t="s">
        <v>880</v>
      </c>
      <c r="B842" s="1">
        <v>46133</v>
      </c>
      <c r="C842" t="s">
        <v>1230</v>
      </c>
      <c r="D842" t="s">
        <v>74</v>
      </c>
      <c r="E842" t="s">
        <v>1249</v>
      </c>
      <c r="F842" t="s">
        <v>1325</v>
      </c>
      <c r="G842" t="s">
        <v>60</v>
      </c>
      <c r="H842" t="s">
        <v>51</v>
      </c>
      <c r="I842">
        <v>10</v>
      </c>
      <c r="J842" s="24">
        <v>235.45</v>
      </c>
      <c r="K842" s="24">
        <f t="shared" si="26"/>
        <v>2354.5</v>
      </c>
      <c r="L842" s="24">
        <v>2737.21</v>
      </c>
      <c r="M842" s="2">
        <f t="shared" si="27"/>
        <v>382.71000000000004</v>
      </c>
      <c r="N842" t="str">
        <v>High</v>
      </c>
      <c r="O842" t="s">
        <v>63</v>
      </c>
    </row>
    <row r="843" spans="1:15" x14ac:dyDescent="0.3">
      <c r="A843" t="s">
        <v>881</v>
      </c>
      <c r="B843" s="1">
        <v>46134</v>
      </c>
      <c r="C843" t="s">
        <v>1226</v>
      </c>
      <c r="D843" t="s">
        <v>72</v>
      </c>
      <c r="E843" t="s">
        <v>1242</v>
      </c>
      <c r="F843" t="s">
        <v>1288</v>
      </c>
      <c r="G843" t="s">
        <v>60</v>
      </c>
      <c r="H843" t="s">
        <v>54</v>
      </c>
      <c r="I843">
        <v>5</v>
      </c>
      <c r="J843" s="24">
        <v>225.44</v>
      </c>
      <c r="K843" s="24">
        <f t="shared" si="26"/>
        <v>1127.2</v>
      </c>
      <c r="L843" s="24">
        <v>1367.16</v>
      </c>
      <c r="M843" s="2">
        <f t="shared" si="27"/>
        <v>239.96000000000004</v>
      </c>
      <c r="N843" t="str">
        <v>Low</v>
      </c>
      <c r="O843" t="s">
        <v>64</v>
      </c>
    </row>
    <row r="844" spans="1:15" x14ac:dyDescent="0.3">
      <c r="A844" t="s">
        <v>882</v>
      </c>
      <c r="B844" s="1">
        <v>46135</v>
      </c>
      <c r="C844" t="s">
        <v>1139</v>
      </c>
      <c r="D844" t="s">
        <v>73</v>
      </c>
      <c r="E844" t="s">
        <v>1250</v>
      </c>
      <c r="F844" t="s">
        <v>1309</v>
      </c>
      <c r="G844" t="s">
        <v>60</v>
      </c>
      <c r="H844" t="s">
        <v>52</v>
      </c>
      <c r="I844">
        <v>1</v>
      </c>
      <c r="J844" s="24">
        <v>208.86</v>
      </c>
      <c r="K844" s="24">
        <f t="shared" si="26"/>
        <v>208.86</v>
      </c>
      <c r="L844" s="24">
        <v>274.41000000000003</v>
      </c>
      <c r="M844" s="2">
        <f t="shared" si="27"/>
        <v>65.550000000000011</v>
      </c>
      <c r="N844" t="str">
        <v>Low</v>
      </c>
      <c r="O844" t="s">
        <v>63</v>
      </c>
    </row>
    <row r="845" spans="1:15" x14ac:dyDescent="0.3">
      <c r="A845" t="s">
        <v>883</v>
      </c>
      <c r="B845" s="1">
        <v>46136</v>
      </c>
      <c r="C845" t="s">
        <v>1098</v>
      </c>
      <c r="D845" t="s">
        <v>73</v>
      </c>
      <c r="E845" t="s">
        <v>1252</v>
      </c>
      <c r="F845" t="s">
        <v>1317</v>
      </c>
      <c r="G845" t="s">
        <v>60</v>
      </c>
      <c r="H845" t="s">
        <v>52</v>
      </c>
      <c r="I845">
        <v>1</v>
      </c>
      <c r="J845" s="24">
        <v>283.52999999999997</v>
      </c>
      <c r="K845" s="24">
        <f t="shared" si="26"/>
        <v>283.52999999999997</v>
      </c>
      <c r="L845" s="24">
        <v>316.01</v>
      </c>
      <c r="M845" s="2">
        <f t="shared" si="27"/>
        <v>32.480000000000018</v>
      </c>
      <c r="N845" t="str">
        <v>Low</v>
      </c>
      <c r="O845" t="s">
        <v>63</v>
      </c>
    </row>
    <row r="846" spans="1:15" x14ac:dyDescent="0.3">
      <c r="A846" t="s">
        <v>884</v>
      </c>
      <c r="B846" s="1">
        <v>46137</v>
      </c>
      <c r="C846" t="s">
        <v>1081</v>
      </c>
      <c r="D846" t="s">
        <v>74</v>
      </c>
      <c r="E846" t="s">
        <v>1249</v>
      </c>
      <c r="F846" t="s">
        <v>1324</v>
      </c>
      <c r="G846" t="s">
        <v>60</v>
      </c>
      <c r="H846" t="s">
        <v>53</v>
      </c>
      <c r="I846">
        <v>10</v>
      </c>
      <c r="J846" s="24">
        <v>473.16</v>
      </c>
      <c r="K846" s="24">
        <f t="shared" si="26"/>
        <v>4731.6000000000004</v>
      </c>
      <c r="L846" s="24">
        <v>5496.45</v>
      </c>
      <c r="M846" s="2">
        <f t="shared" si="27"/>
        <v>764.84999999999945</v>
      </c>
      <c r="N846" t="str">
        <v>High</v>
      </c>
      <c r="O846" t="s">
        <v>65</v>
      </c>
    </row>
    <row r="847" spans="1:15" x14ac:dyDescent="0.3">
      <c r="A847" t="s">
        <v>885</v>
      </c>
      <c r="B847" s="1">
        <v>46138</v>
      </c>
      <c r="C847" t="s">
        <v>1061</v>
      </c>
      <c r="D847" t="s">
        <v>73</v>
      </c>
      <c r="E847" t="s">
        <v>1250</v>
      </c>
      <c r="F847" t="s">
        <v>1302</v>
      </c>
      <c r="G847" t="s">
        <v>60</v>
      </c>
      <c r="H847" t="s">
        <v>52</v>
      </c>
      <c r="I847">
        <v>8</v>
      </c>
      <c r="J847" s="24">
        <v>140.05000000000001</v>
      </c>
      <c r="K847" s="24">
        <f t="shared" si="26"/>
        <v>1120.4000000000001</v>
      </c>
      <c r="L847" s="24">
        <v>1580.58</v>
      </c>
      <c r="M847" s="2">
        <f t="shared" si="27"/>
        <v>460.17999999999984</v>
      </c>
      <c r="N847" t="str">
        <v>Low</v>
      </c>
      <c r="O847" t="s">
        <v>64</v>
      </c>
    </row>
    <row r="848" spans="1:15" x14ac:dyDescent="0.3">
      <c r="A848" t="s">
        <v>886</v>
      </c>
      <c r="B848" s="1">
        <v>46139</v>
      </c>
      <c r="C848" t="s">
        <v>1209</v>
      </c>
      <c r="D848" t="s">
        <v>72</v>
      </c>
      <c r="E848" t="s">
        <v>1246</v>
      </c>
      <c r="F848" t="s">
        <v>1300</v>
      </c>
      <c r="G848" t="s">
        <v>60</v>
      </c>
      <c r="H848" t="s">
        <v>54</v>
      </c>
      <c r="I848">
        <v>10</v>
      </c>
      <c r="J848" s="24">
        <v>437.46</v>
      </c>
      <c r="K848" s="24">
        <f t="shared" si="26"/>
        <v>4374.5999999999995</v>
      </c>
      <c r="L848" s="24">
        <v>6438.25</v>
      </c>
      <c r="M848" s="2">
        <f t="shared" si="27"/>
        <v>2063.6500000000005</v>
      </c>
      <c r="N848" t="str">
        <v>High</v>
      </c>
      <c r="O848" t="s">
        <v>65</v>
      </c>
    </row>
    <row r="849" spans="1:15" x14ac:dyDescent="0.3">
      <c r="A849" t="s">
        <v>887</v>
      </c>
      <c r="B849" s="1">
        <v>46140</v>
      </c>
      <c r="C849" t="s">
        <v>1239</v>
      </c>
      <c r="D849" t="s">
        <v>74</v>
      </c>
      <c r="E849" t="s">
        <v>1249</v>
      </c>
      <c r="F849" t="s">
        <v>1308</v>
      </c>
      <c r="G849" t="s">
        <v>60</v>
      </c>
      <c r="H849" t="s">
        <v>53</v>
      </c>
      <c r="I849">
        <v>1</v>
      </c>
      <c r="J849" s="24">
        <v>76.59</v>
      </c>
      <c r="K849" s="24">
        <f t="shared" si="26"/>
        <v>76.59</v>
      </c>
      <c r="L849" s="24">
        <v>84.71</v>
      </c>
      <c r="M849" s="2">
        <f t="shared" si="27"/>
        <v>8.1199999999999903</v>
      </c>
      <c r="N849" t="str">
        <v>Low</v>
      </c>
      <c r="O849" t="s">
        <v>64</v>
      </c>
    </row>
    <row r="850" spans="1:15" x14ac:dyDescent="0.3">
      <c r="A850" t="s">
        <v>888</v>
      </c>
      <c r="B850" s="1">
        <v>46141</v>
      </c>
      <c r="C850" t="s">
        <v>1174</v>
      </c>
      <c r="D850" t="s">
        <v>73</v>
      </c>
      <c r="E850" t="s">
        <v>1250</v>
      </c>
      <c r="F850" t="s">
        <v>1309</v>
      </c>
      <c r="G850" t="s">
        <v>60</v>
      </c>
      <c r="H850" t="s">
        <v>53</v>
      </c>
      <c r="I850">
        <v>7</v>
      </c>
      <c r="J850" s="24">
        <v>308.73</v>
      </c>
      <c r="K850" s="24">
        <f t="shared" si="26"/>
        <v>2161.11</v>
      </c>
      <c r="L850" s="24">
        <v>2855.66</v>
      </c>
      <c r="M850" s="2">
        <f t="shared" si="27"/>
        <v>694.54999999999973</v>
      </c>
      <c r="N850" t="str">
        <v>High</v>
      </c>
      <c r="O850" t="s">
        <v>63</v>
      </c>
    </row>
    <row r="851" spans="1:15" x14ac:dyDescent="0.3">
      <c r="A851" t="s">
        <v>889</v>
      </c>
      <c r="B851" s="1">
        <v>46142</v>
      </c>
      <c r="C851" t="s">
        <v>1068</v>
      </c>
      <c r="D851" t="s">
        <v>71</v>
      </c>
      <c r="E851" t="s">
        <v>1248</v>
      </c>
      <c r="F851" t="s">
        <v>1269</v>
      </c>
      <c r="G851" t="s">
        <v>60</v>
      </c>
      <c r="H851" t="s">
        <v>52</v>
      </c>
      <c r="I851">
        <v>5</v>
      </c>
      <c r="J851" s="24">
        <v>76.48</v>
      </c>
      <c r="K851" s="24">
        <f t="shared" si="26"/>
        <v>382.40000000000003</v>
      </c>
      <c r="L851" s="24">
        <v>503.65</v>
      </c>
      <c r="M851" s="2">
        <f t="shared" si="27"/>
        <v>121.24999999999994</v>
      </c>
      <c r="N851" t="str">
        <v>Low</v>
      </c>
      <c r="O851" t="s">
        <v>63</v>
      </c>
    </row>
    <row r="852" spans="1:15" x14ac:dyDescent="0.3">
      <c r="A852" t="s">
        <v>890</v>
      </c>
      <c r="B852" s="1">
        <v>46143</v>
      </c>
      <c r="C852" t="s">
        <v>1173</v>
      </c>
      <c r="D852" t="s">
        <v>72</v>
      </c>
      <c r="E852" t="s">
        <v>1242</v>
      </c>
      <c r="F852" t="s">
        <v>1280</v>
      </c>
      <c r="G852" t="s">
        <v>60</v>
      </c>
      <c r="H852" t="s">
        <v>52</v>
      </c>
      <c r="I852">
        <v>2</v>
      </c>
      <c r="J852" s="24">
        <v>466.08</v>
      </c>
      <c r="K852" s="24">
        <f t="shared" si="26"/>
        <v>932.16</v>
      </c>
      <c r="L852" s="24">
        <v>1028.51</v>
      </c>
      <c r="M852" s="2">
        <f t="shared" si="27"/>
        <v>96.350000000000023</v>
      </c>
      <c r="N852" t="str">
        <v>Low</v>
      </c>
      <c r="O852" t="s">
        <v>65</v>
      </c>
    </row>
    <row r="853" spans="1:15" x14ac:dyDescent="0.3">
      <c r="A853" t="s">
        <v>891</v>
      </c>
      <c r="B853" s="1">
        <v>46144</v>
      </c>
      <c r="C853" t="s">
        <v>1186</v>
      </c>
      <c r="D853" t="s">
        <v>74</v>
      </c>
      <c r="E853" t="s">
        <v>1244</v>
      </c>
      <c r="F853" t="s">
        <v>1334</v>
      </c>
      <c r="G853" t="s">
        <v>60</v>
      </c>
      <c r="H853" t="s">
        <v>54</v>
      </c>
      <c r="I853">
        <v>9</v>
      </c>
      <c r="J853" s="24">
        <v>189.37</v>
      </c>
      <c r="K853" s="24">
        <f t="shared" si="26"/>
        <v>1704.33</v>
      </c>
      <c r="L853" s="24">
        <v>2208.63</v>
      </c>
      <c r="M853" s="2">
        <f t="shared" si="27"/>
        <v>504.30000000000018</v>
      </c>
      <c r="N853" t="str">
        <v>High</v>
      </c>
      <c r="O853" t="s">
        <v>63</v>
      </c>
    </row>
    <row r="854" spans="1:15" x14ac:dyDescent="0.3">
      <c r="A854" t="s">
        <v>892</v>
      </c>
      <c r="B854" s="1">
        <v>46145</v>
      </c>
      <c r="C854" t="s">
        <v>1103</v>
      </c>
      <c r="D854" t="s">
        <v>71</v>
      </c>
      <c r="E854" t="s">
        <v>1254</v>
      </c>
      <c r="F854" t="s">
        <v>1304</v>
      </c>
      <c r="G854" t="s">
        <v>60</v>
      </c>
      <c r="H854" t="s">
        <v>51</v>
      </c>
      <c r="I854">
        <v>8</v>
      </c>
      <c r="J854" s="24">
        <v>261.04000000000002</v>
      </c>
      <c r="K854" s="24">
        <f t="shared" si="26"/>
        <v>2088.3200000000002</v>
      </c>
      <c r="L854" s="24">
        <v>2708.86</v>
      </c>
      <c r="M854" s="2">
        <f t="shared" si="27"/>
        <v>620.54</v>
      </c>
      <c r="N854" t="str">
        <v>High</v>
      </c>
      <c r="O854" t="s">
        <v>64</v>
      </c>
    </row>
    <row r="855" spans="1:15" x14ac:dyDescent="0.3">
      <c r="A855" t="s">
        <v>893</v>
      </c>
      <c r="B855" s="1">
        <v>46146</v>
      </c>
      <c r="C855" t="s">
        <v>1045</v>
      </c>
      <c r="D855" t="s">
        <v>72</v>
      </c>
      <c r="E855" t="s">
        <v>1253</v>
      </c>
      <c r="F855" t="s">
        <v>1298</v>
      </c>
      <c r="G855" t="s">
        <v>60</v>
      </c>
      <c r="H855" t="s">
        <v>52</v>
      </c>
      <c r="I855">
        <v>5</v>
      </c>
      <c r="J855" s="24">
        <v>190.72</v>
      </c>
      <c r="K855" s="24">
        <f t="shared" si="26"/>
        <v>953.6</v>
      </c>
      <c r="L855" s="24">
        <v>1073.6300000000001</v>
      </c>
      <c r="M855" s="2">
        <f t="shared" si="27"/>
        <v>120.03000000000009</v>
      </c>
      <c r="N855" t="str">
        <v>Low</v>
      </c>
      <c r="O855" t="s">
        <v>64</v>
      </c>
    </row>
    <row r="856" spans="1:15" x14ac:dyDescent="0.3">
      <c r="A856" t="s">
        <v>894</v>
      </c>
      <c r="B856" s="1">
        <v>46147</v>
      </c>
      <c r="C856" t="s">
        <v>1181</v>
      </c>
      <c r="D856" t="s">
        <v>71</v>
      </c>
      <c r="E856" t="s">
        <v>1240</v>
      </c>
      <c r="F856" t="s">
        <v>1273</v>
      </c>
      <c r="G856" t="s">
        <v>60</v>
      </c>
      <c r="H856" t="s">
        <v>53</v>
      </c>
      <c r="I856">
        <v>3</v>
      </c>
      <c r="J856" s="24">
        <v>207.64</v>
      </c>
      <c r="K856" s="24">
        <f t="shared" si="26"/>
        <v>622.91999999999996</v>
      </c>
      <c r="L856" s="24">
        <v>851.81</v>
      </c>
      <c r="M856" s="2">
        <f t="shared" si="27"/>
        <v>228.89</v>
      </c>
      <c r="N856" t="str">
        <v>Low</v>
      </c>
      <c r="O856" t="s">
        <v>65</v>
      </c>
    </row>
    <row r="857" spans="1:15" x14ac:dyDescent="0.3">
      <c r="A857" t="s">
        <v>895</v>
      </c>
      <c r="B857" s="1">
        <v>46148</v>
      </c>
      <c r="C857" t="s">
        <v>1122</v>
      </c>
      <c r="D857" t="s">
        <v>71</v>
      </c>
      <c r="E857" t="s">
        <v>1241</v>
      </c>
      <c r="F857" t="s">
        <v>1312</v>
      </c>
      <c r="G857" t="s">
        <v>60</v>
      </c>
      <c r="H857" t="s">
        <v>53</v>
      </c>
      <c r="I857">
        <v>7</v>
      </c>
      <c r="J857" s="24">
        <v>460.8</v>
      </c>
      <c r="K857" s="24">
        <f t="shared" si="26"/>
        <v>3225.6</v>
      </c>
      <c r="L857" s="24">
        <v>4126.67</v>
      </c>
      <c r="M857" s="2">
        <f t="shared" si="27"/>
        <v>901.07000000000016</v>
      </c>
      <c r="N857" t="str">
        <v>High</v>
      </c>
      <c r="O857" t="s">
        <v>64</v>
      </c>
    </row>
    <row r="858" spans="1:15" x14ac:dyDescent="0.3">
      <c r="A858" t="s">
        <v>896</v>
      </c>
      <c r="B858" s="1">
        <v>46149</v>
      </c>
      <c r="C858" t="s">
        <v>1120</v>
      </c>
      <c r="D858" t="s">
        <v>72</v>
      </c>
      <c r="E858" t="s">
        <v>1245</v>
      </c>
      <c r="F858" t="s">
        <v>1265</v>
      </c>
      <c r="G858" t="s">
        <v>60</v>
      </c>
      <c r="H858" t="s">
        <v>54</v>
      </c>
      <c r="I858">
        <v>4</v>
      </c>
      <c r="J858" s="24">
        <v>271.89999999999998</v>
      </c>
      <c r="K858" s="24">
        <f t="shared" si="26"/>
        <v>1087.5999999999999</v>
      </c>
      <c r="L858" s="24">
        <v>1566.66</v>
      </c>
      <c r="M858" s="2">
        <f t="shared" si="27"/>
        <v>479.06000000000017</v>
      </c>
      <c r="N858" t="str">
        <v>Low</v>
      </c>
      <c r="O858" t="s">
        <v>64</v>
      </c>
    </row>
    <row r="859" spans="1:15" x14ac:dyDescent="0.3">
      <c r="A859" t="s">
        <v>897</v>
      </c>
      <c r="B859" s="1">
        <v>46150</v>
      </c>
      <c r="C859" t="s">
        <v>1212</v>
      </c>
      <c r="D859" t="s">
        <v>71</v>
      </c>
      <c r="E859" t="s">
        <v>1251</v>
      </c>
      <c r="F859" t="s">
        <v>1315</v>
      </c>
      <c r="G859" t="s">
        <v>60</v>
      </c>
      <c r="H859" t="s">
        <v>53</v>
      </c>
      <c r="I859">
        <v>4</v>
      </c>
      <c r="J859" s="24">
        <v>201.28</v>
      </c>
      <c r="K859" s="24">
        <f t="shared" si="26"/>
        <v>805.12</v>
      </c>
      <c r="L859" s="24">
        <v>1168.3599999999999</v>
      </c>
      <c r="M859" s="2">
        <f t="shared" si="27"/>
        <v>363.2399999999999</v>
      </c>
      <c r="N859" t="str">
        <v>Low</v>
      </c>
      <c r="O859" t="s">
        <v>64</v>
      </c>
    </row>
    <row r="860" spans="1:15" x14ac:dyDescent="0.3">
      <c r="A860" t="s">
        <v>898</v>
      </c>
      <c r="B860" s="1">
        <v>46151</v>
      </c>
      <c r="C860" t="s">
        <v>1115</v>
      </c>
      <c r="D860" t="s">
        <v>72</v>
      </c>
      <c r="E860" t="s">
        <v>1245</v>
      </c>
      <c r="F860" t="s">
        <v>1277</v>
      </c>
      <c r="G860" t="s">
        <v>60</v>
      </c>
      <c r="H860" t="s">
        <v>51</v>
      </c>
      <c r="I860">
        <v>6</v>
      </c>
      <c r="J860" s="24">
        <v>84.21</v>
      </c>
      <c r="K860" s="24">
        <f t="shared" si="26"/>
        <v>505.26</v>
      </c>
      <c r="L860" s="24">
        <v>622.99</v>
      </c>
      <c r="M860" s="2">
        <f t="shared" si="27"/>
        <v>117.73000000000002</v>
      </c>
      <c r="N860" t="str">
        <v>Low</v>
      </c>
      <c r="O860" t="s">
        <v>64</v>
      </c>
    </row>
    <row r="861" spans="1:15" x14ac:dyDescent="0.3">
      <c r="A861" t="s">
        <v>899</v>
      </c>
      <c r="B861" s="1">
        <v>46152</v>
      </c>
      <c r="C861" t="s">
        <v>1199</v>
      </c>
      <c r="D861" t="s">
        <v>74</v>
      </c>
      <c r="E861" t="s">
        <v>1249</v>
      </c>
      <c r="F861" t="s">
        <v>1325</v>
      </c>
      <c r="G861" t="s">
        <v>60</v>
      </c>
      <c r="H861" t="s">
        <v>51</v>
      </c>
      <c r="I861">
        <v>1</v>
      </c>
      <c r="J861" s="24">
        <v>426.11</v>
      </c>
      <c r="K861" s="24">
        <f t="shared" si="26"/>
        <v>426.11</v>
      </c>
      <c r="L861" s="24">
        <v>546.35</v>
      </c>
      <c r="M861" s="2">
        <f t="shared" si="27"/>
        <v>120.24000000000001</v>
      </c>
      <c r="N861" t="str">
        <v>Low</v>
      </c>
      <c r="O861" t="s">
        <v>65</v>
      </c>
    </row>
    <row r="862" spans="1:15" x14ac:dyDescent="0.3">
      <c r="A862" t="s">
        <v>900</v>
      </c>
      <c r="B862" s="1">
        <v>46153</v>
      </c>
      <c r="C862" t="s">
        <v>1094</v>
      </c>
      <c r="D862" t="s">
        <v>72</v>
      </c>
      <c r="E862" t="s">
        <v>1246</v>
      </c>
      <c r="F862" t="s">
        <v>1293</v>
      </c>
      <c r="G862" t="s">
        <v>60</v>
      </c>
      <c r="H862" t="s">
        <v>54</v>
      </c>
      <c r="I862">
        <v>4</v>
      </c>
      <c r="J862" s="24">
        <v>412.26</v>
      </c>
      <c r="K862" s="24">
        <f t="shared" si="26"/>
        <v>1649.04</v>
      </c>
      <c r="L862" s="24">
        <v>2440.87</v>
      </c>
      <c r="M862" s="2">
        <f t="shared" si="27"/>
        <v>791.82999999999993</v>
      </c>
      <c r="N862" t="str">
        <v>High</v>
      </c>
      <c r="O862" t="s">
        <v>64</v>
      </c>
    </row>
    <row r="863" spans="1:15" x14ac:dyDescent="0.3">
      <c r="A863" t="s">
        <v>901</v>
      </c>
      <c r="B863" s="1">
        <v>46154</v>
      </c>
      <c r="C863" t="s">
        <v>1229</v>
      </c>
      <c r="D863" t="s">
        <v>72</v>
      </c>
      <c r="E863" t="s">
        <v>1246</v>
      </c>
      <c r="F863" t="s">
        <v>1300</v>
      </c>
      <c r="G863" t="s">
        <v>60</v>
      </c>
      <c r="H863" t="s">
        <v>53</v>
      </c>
      <c r="I863">
        <v>1</v>
      </c>
      <c r="J863" s="24">
        <v>166.91</v>
      </c>
      <c r="K863" s="24">
        <f t="shared" si="26"/>
        <v>166.91</v>
      </c>
      <c r="L863" s="24">
        <v>232.29</v>
      </c>
      <c r="M863" s="2">
        <f t="shared" si="27"/>
        <v>65.38</v>
      </c>
      <c r="N863" t="str">
        <v>Low</v>
      </c>
      <c r="O863" t="s">
        <v>64</v>
      </c>
    </row>
    <row r="864" spans="1:15" x14ac:dyDescent="0.3">
      <c r="A864" t="s">
        <v>902</v>
      </c>
      <c r="B864" s="1">
        <v>46155</v>
      </c>
      <c r="C864" t="s">
        <v>1180</v>
      </c>
      <c r="D864" t="s">
        <v>71</v>
      </c>
      <c r="E864" t="s">
        <v>1248</v>
      </c>
      <c r="F864" t="s">
        <v>1269</v>
      </c>
      <c r="G864" t="s">
        <v>60</v>
      </c>
      <c r="H864" t="s">
        <v>53</v>
      </c>
      <c r="I864">
        <v>3</v>
      </c>
      <c r="J864" s="24">
        <v>391.22</v>
      </c>
      <c r="K864" s="24">
        <f t="shared" si="26"/>
        <v>1173.6600000000001</v>
      </c>
      <c r="L864" s="24">
        <v>1349.74</v>
      </c>
      <c r="M864" s="2">
        <f t="shared" si="27"/>
        <v>176.07999999999993</v>
      </c>
      <c r="N864" t="str">
        <v>Low</v>
      </c>
      <c r="O864" t="s">
        <v>64</v>
      </c>
    </row>
    <row r="865" spans="1:15" x14ac:dyDescent="0.3">
      <c r="A865" t="s">
        <v>903</v>
      </c>
      <c r="B865" s="1">
        <v>46156</v>
      </c>
      <c r="C865" t="s">
        <v>1219</v>
      </c>
      <c r="D865" t="s">
        <v>73</v>
      </c>
      <c r="E865" t="s">
        <v>1243</v>
      </c>
      <c r="F865" t="s">
        <v>1261</v>
      </c>
      <c r="G865" t="s">
        <v>60</v>
      </c>
      <c r="H865" t="s">
        <v>51</v>
      </c>
      <c r="I865">
        <v>6</v>
      </c>
      <c r="J865" s="24">
        <v>190.43</v>
      </c>
      <c r="K865" s="24">
        <f t="shared" si="26"/>
        <v>1142.58</v>
      </c>
      <c r="L865" s="24">
        <v>1693</v>
      </c>
      <c r="M865" s="2">
        <f t="shared" si="27"/>
        <v>550.42000000000007</v>
      </c>
      <c r="N865" t="str">
        <v>Low</v>
      </c>
      <c r="O865" t="s">
        <v>64</v>
      </c>
    </row>
    <row r="866" spans="1:15" x14ac:dyDescent="0.3">
      <c r="A866" t="s">
        <v>904</v>
      </c>
      <c r="B866" s="1">
        <v>46157</v>
      </c>
      <c r="C866" t="s">
        <v>1202</v>
      </c>
      <c r="D866" t="s">
        <v>71</v>
      </c>
      <c r="E866" t="s">
        <v>1251</v>
      </c>
      <c r="F866" t="s">
        <v>1326</v>
      </c>
      <c r="G866" t="s">
        <v>60</v>
      </c>
      <c r="H866" t="s">
        <v>52</v>
      </c>
      <c r="I866">
        <v>8</v>
      </c>
      <c r="J866" s="24">
        <v>431.54</v>
      </c>
      <c r="K866" s="24">
        <f t="shared" si="26"/>
        <v>3452.32</v>
      </c>
      <c r="L866" s="24">
        <v>4855.97</v>
      </c>
      <c r="M866" s="2">
        <f t="shared" si="27"/>
        <v>1403.65</v>
      </c>
      <c r="N866" t="str">
        <v>High</v>
      </c>
      <c r="O866" t="s">
        <v>64</v>
      </c>
    </row>
    <row r="867" spans="1:15" x14ac:dyDescent="0.3">
      <c r="A867" t="s">
        <v>905</v>
      </c>
      <c r="B867" s="1">
        <v>46158</v>
      </c>
      <c r="C867" t="s">
        <v>1157</v>
      </c>
      <c r="D867" t="s">
        <v>74</v>
      </c>
      <c r="E867" t="s">
        <v>1247</v>
      </c>
      <c r="F867" t="s">
        <v>1327</v>
      </c>
      <c r="G867" t="s">
        <v>60</v>
      </c>
      <c r="H867" t="s">
        <v>53</v>
      </c>
      <c r="I867">
        <v>8</v>
      </c>
      <c r="J867" s="24">
        <v>470.08</v>
      </c>
      <c r="K867" s="24">
        <f t="shared" si="26"/>
        <v>3760.64</v>
      </c>
      <c r="L867" s="24">
        <v>5339.89</v>
      </c>
      <c r="M867" s="2">
        <f t="shared" si="27"/>
        <v>1579.2500000000005</v>
      </c>
      <c r="N867" t="str">
        <v>High</v>
      </c>
      <c r="O867" t="s">
        <v>65</v>
      </c>
    </row>
    <row r="868" spans="1:15" x14ac:dyDescent="0.3">
      <c r="A868" t="s">
        <v>906</v>
      </c>
      <c r="B868" s="1">
        <v>46159</v>
      </c>
      <c r="C868" t="s">
        <v>1225</v>
      </c>
      <c r="D868" t="s">
        <v>73</v>
      </c>
      <c r="E868" t="s">
        <v>1250</v>
      </c>
      <c r="F868" t="s">
        <v>1274</v>
      </c>
      <c r="G868" t="s">
        <v>60</v>
      </c>
      <c r="H868" t="s">
        <v>52</v>
      </c>
      <c r="I868">
        <v>3</v>
      </c>
      <c r="J868" s="24">
        <v>52.15</v>
      </c>
      <c r="K868" s="24">
        <f t="shared" si="26"/>
        <v>156.44999999999999</v>
      </c>
      <c r="L868" s="24">
        <v>231.66</v>
      </c>
      <c r="M868" s="2">
        <f t="shared" si="27"/>
        <v>75.210000000000008</v>
      </c>
      <c r="N868" t="str">
        <v>Low</v>
      </c>
      <c r="O868" t="s">
        <v>64</v>
      </c>
    </row>
    <row r="869" spans="1:15" x14ac:dyDescent="0.3">
      <c r="A869" t="s">
        <v>907</v>
      </c>
      <c r="B869" s="1">
        <v>46160</v>
      </c>
      <c r="C869" t="s">
        <v>1060</v>
      </c>
      <c r="D869" t="s">
        <v>72</v>
      </c>
      <c r="E869" t="s">
        <v>1242</v>
      </c>
      <c r="F869" t="s">
        <v>1280</v>
      </c>
      <c r="G869" t="s">
        <v>60</v>
      </c>
      <c r="H869" t="s">
        <v>54</v>
      </c>
      <c r="I869">
        <v>5</v>
      </c>
      <c r="J869" s="24">
        <v>44.71</v>
      </c>
      <c r="K869" s="24">
        <f t="shared" si="26"/>
        <v>223.55</v>
      </c>
      <c r="L869" s="24">
        <v>299.94</v>
      </c>
      <c r="M869" s="2">
        <f t="shared" si="27"/>
        <v>76.389999999999986</v>
      </c>
      <c r="N869" t="str">
        <v>Low</v>
      </c>
      <c r="O869" t="s">
        <v>65</v>
      </c>
    </row>
    <row r="870" spans="1:15" x14ac:dyDescent="0.3">
      <c r="A870" t="s">
        <v>908</v>
      </c>
      <c r="B870" s="1">
        <v>46161</v>
      </c>
      <c r="C870" t="s">
        <v>1040</v>
      </c>
      <c r="D870" t="s">
        <v>72</v>
      </c>
      <c r="E870" t="s">
        <v>1245</v>
      </c>
      <c r="F870" t="s">
        <v>1263</v>
      </c>
      <c r="G870" t="s">
        <v>60</v>
      </c>
      <c r="H870" t="s">
        <v>52</v>
      </c>
      <c r="I870">
        <v>8</v>
      </c>
      <c r="J870" s="24">
        <v>182.56</v>
      </c>
      <c r="K870" s="24">
        <f t="shared" si="26"/>
        <v>1460.48</v>
      </c>
      <c r="L870" s="24">
        <v>2113.4499999999998</v>
      </c>
      <c r="M870" s="2">
        <f t="shared" si="27"/>
        <v>652.9699999999998</v>
      </c>
      <c r="N870" t="str">
        <v>High</v>
      </c>
      <c r="O870" t="s">
        <v>64</v>
      </c>
    </row>
    <row r="871" spans="1:15" x14ac:dyDescent="0.3">
      <c r="A871" t="s">
        <v>909</v>
      </c>
      <c r="B871" s="1">
        <v>46162</v>
      </c>
      <c r="C871" t="s">
        <v>1067</v>
      </c>
      <c r="D871" t="s">
        <v>72</v>
      </c>
      <c r="E871" t="s">
        <v>1242</v>
      </c>
      <c r="F871" t="s">
        <v>1332</v>
      </c>
      <c r="G871" t="s">
        <v>60</v>
      </c>
      <c r="H871" t="s">
        <v>54</v>
      </c>
      <c r="I871">
        <v>3</v>
      </c>
      <c r="J871" s="24">
        <v>316.39999999999998</v>
      </c>
      <c r="K871" s="24">
        <f t="shared" si="26"/>
        <v>949.19999999999993</v>
      </c>
      <c r="L871" s="24">
        <v>1048.76</v>
      </c>
      <c r="M871" s="2">
        <f t="shared" si="27"/>
        <v>99.560000000000059</v>
      </c>
      <c r="N871" t="str">
        <v>Low</v>
      </c>
      <c r="O871" t="s">
        <v>63</v>
      </c>
    </row>
    <row r="872" spans="1:15" x14ac:dyDescent="0.3">
      <c r="A872" t="s">
        <v>910</v>
      </c>
      <c r="B872" s="1">
        <v>46163</v>
      </c>
      <c r="C872" t="s">
        <v>1183</v>
      </c>
      <c r="D872" t="s">
        <v>74</v>
      </c>
      <c r="E872" t="s">
        <v>1244</v>
      </c>
      <c r="F872" t="s">
        <v>1330</v>
      </c>
      <c r="G872" t="s">
        <v>60</v>
      </c>
      <c r="H872" t="s">
        <v>51</v>
      </c>
      <c r="I872">
        <v>3</v>
      </c>
      <c r="J872" s="24">
        <v>356.42</v>
      </c>
      <c r="K872" s="24">
        <f t="shared" si="26"/>
        <v>1069.26</v>
      </c>
      <c r="L872" s="24">
        <v>1323.9</v>
      </c>
      <c r="M872" s="2">
        <f t="shared" si="27"/>
        <v>254.6400000000001</v>
      </c>
      <c r="N872" t="str">
        <v>Low</v>
      </c>
      <c r="O872" t="s">
        <v>65</v>
      </c>
    </row>
    <row r="873" spans="1:15" x14ac:dyDescent="0.3">
      <c r="A873" t="s">
        <v>911</v>
      </c>
      <c r="B873" s="1">
        <v>46164</v>
      </c>
      <c r="C873" t="s">
        <v>1195</v>
      </c>
      <c r="D873" t="s">
        <v>73</v>
      </c>
      <c r="E873" t="s">
        <v>1250</v>
      </c>
      <c r="F873" t="s">
        <v>1309</v>
      </c>
      <c r="G873" t="s">
        <v>60</v>
      </c>
      <c r="H873" t="s">
        <v>54</v>
      </c>
      <c r="I873">
        <v>1</v>
      </c>
      <c r="J873" s="24">
        <v>496.59</v>
      </c>
      <c r="K873" s="24">
        <f t="shared" si="26"/>
        <v>496.59</v>
      </c>
      <c r="L873" s="24">
        <v>624.01</v>
      </c>
      <c r="M873" s="2">
        <f t="shared" si="27"/>
        <v>127.42000000000002</v>
      </c>
      <c r="N873" t="str">
        <v>Low</v>
      </c>
      <c r="O873" t="s">
        <v>64</v>
      </c>
    </row>
    <row r="874" spans="1:15" x14ac:dyDescent="0.3">
      <c r="A874" t="s">
        <v>912</v>
      </c>
      <c r="B874" s="1">
        <v>46165</v>
      </c>
      <c r="C874" t="s">
        <v>1049</v>
      </c>
      <c r="D874" t="s">
        <v>74</v>
      </c>
      <c r="E874" t="s">
        <v>1249</v>
      </c>
      <c r="F874" t="s">
        <v>1308</v>
      </c>
      <c r="G874" t="s">
        <v>60</v>
      </c>
      <c r="H874" t="s">
        <v>52</v>
      </c>
      <c r="I874">
        <v>2</v>
      </c>
      <c r="J874" s="24">
        <v>324.23</v>
      </c>
      <c r="K874" s="24">
        <f t="shared" si="26"/>
        <v>648.46</v>
      </c>
      <c r="L874" s="24">
        <v>930.23</v>
      </c>
      <c r="M874" s="2">
        <f t="shared" si="27"/>
        <v>281.77</v>
      </c>
      <c r="N874" t="str">
        <v>Low</v>
      </c>
      <c r="O874" t="s">
        <v>63</v>
      </c>
    </row>
    <row r="875" spans="1:15" x14ac:dyDescent="0.3">
      <c r="A875" t="s">
        <v>913</v>
      </c>
      <c r="B875" s="1">
        <v>46166</v>
      </c>
      <c r="C875" t="s">
        <v>1159</v>
      </c>
      <c r="D875" t="s">
        <v>73</v>
      </c>
      <c r="E875" t="s">
        <v>1243</v>
      </c>
      <c r="F875" t="s">
        <v>1303</v>
      </c>
      <c r="G875" t="s">
        <v>60</v>
      </c>
      <c r="H875" t="s">
        <v>54</v>
      </c>
      <c r="I875">
        <v>6</v>
      </c>
      <c r="J875" s="24">
        <v>352.75</v>
      </c>
      <c r="K875" s="24">
        <f t="shared" si="26"/>
        <v>2116.5</v>
      </c>
      <c r="L875" s="24">
        <v>2508.59</v>
      </c>
      <c r="M875" s="2">
        <f t="shared" si="27"/>
        <v>392.09000000000015</v>
      </c>
      <c r="N875" t="str">
        <v>High</v>
      </c>
      <c r="O875" t="s">
        <v>64</v>
      </c>
    </row>
    <row r="876" spans="1:15" x14ac:dyDescent="0.3">
      <c r="A876" t="s">
        <v>914</v>
      </c>
      <c r="B876" s="1">
        <v>46167</v>
      </c>
      <c r="C876" t="s">
        <v>1124</v>
      </c>
      <c r="D876" t="s">
        <v>71</v>
      </c>
      <c r="E876" t="s">
        <v>1251</v>
      </c>
      <c r="F876" t="s">
        <v>1315</v>
      </c>
      <c r="G876" t="s">
        <v>60</v>
      </c>
      <c r="H876" t="s">
        <v>52</v>
      </c>
      <c r="I876">
        <v>10</v>
      </c>
      <c r="J876" s="24">
        <v>376.8</v>
      </c>
      <c r="K876" s="24">
        <f t="shared" si="26"/>
        <v>3768</v>
      </c>
      <c r="L876" s="24">
        <v>5134.78</v>
      </c>
      <c r="M876" s="2">
        <f t="shared" si="27"/>
        <v>1366.7799999999997</v>
      </c>
      <c r="N876" t="str">
        <v>High</v>
      </c>
      <c r="O876" t="s">
        <v>63</v>
      </c>
    </row>
    <row r="877" spans="1:15" x14ac:dyDescent="0.3">
      <c r="A877" t="s">
        <v>915</v>
      </c>
      <c r="B877" s="1">
        <v>46168</v>
      </c>
      <c r="C877" t="s">
        <v>1237</v>
      </c>
      <c r="D877" t="s">
        <v>71</v>
      </c>
      <c r="E877" t="s">
        <v>1254</v>
      </c>
      <c r="F877" t="s">
        <v>1304</v>
      </c>
      <c r="G877" t="s">
        <v>60</v>
      </c>
      <c r="H877" t="s">
        <v>54</v>
      </c>
      <c r="I877">
        <v>9</v>
      </c>
      <c r="J877" s="24">
        <v>217.26</v>
      </c>
      <c r="K877" s="24">
        <f t="shared" si="26"/>
        <v>1955.34</v>
      </c>
      <c r="L877" s="24">
        <v>2378.2199999999998</v>
      </c>
      <c r="M877" s="2">
        <f t="shared" si="27"/>
        <v>422.87999999999988</v>
      </c>
      <c r="N877" t="str">
        <v>High</v>
      </c>
      <c r="O877" t="s">
        <v>63</v>
      </c>
    </row>
    <row r="878" spans="1:15" x14ac:dyDescent="0.3">
      <c r="A878" t="s">
        <v>916</v>
      </c>
      <c r="B878" s="1">
        <v>46169</v>
      </c>
      <c r="C878" t="s">
        <v>1111</v>
      </c>
      <c r="D878" t="s">
        <v>1255</v>
      </c>
      <c r="E878" t="s">
        <v>59</v>
      </c>
      <c r="F878" t="s">
        <v>1310</v>
      </c>
      <c r="G878" t="s">
        <v>60</v>
      </c>
      <c r="H878" t="s">
        <v>51</v>
      </c>
      <c r="I878">
        <v>3</v>
      </c>
      <c r="J878" s="24">
        <v>313.55</v>
      </c>
      <c r="K878" s="24">
        <f t="shared" si="26"/>
        <v>940.65000000000009</v>
      </c>
      <c r="L878" s="24">
        <v>1220.6600000000001</v>
      </c>
      <c r="M878" s="2">
        <f t="shared" si="27"/>
        <v>280.01</v>
      </c>
      <c r="N878" t="str">
        <v>Low</v>
      </c>
      <c r="O878" t="s">
        <v>63</v>
      </c>
    </row>
    <row r="879" spans="1:15" x14ac:dyDescent="0.3">
      <c r="A879" t="s">
        <v>917</v>
      </c>
      <c r="B879" s="1">
        <v>46170</v>
      </c>
      <c r="C879" t="s">
        <v>1181</v>
      </c>
      <c r="D879" t="s">
        <v>73</v>
      </c>
      <c r="E879" t="s">
        <v>1243</v>
      </c>
      <c r="F879" t="s">
        <v>1290</v>
      </c>
      <c r="G879" t="s">
        <v>60</v>
      </c>
      <c r="H879" t="s">
        <v>51</v>
      </c>
      <c r="I879">
        <v>3</v>
      </c>
      <c r="J879" s="24">
        <v>101.91</v>
      </c>
      <c r="K879" s="24">
        <f t="shared" si="26"/>
        <v>305.73</v>
      </c>
      <c r="L879" s="24">
        <v>417.09</v>
      </c>
      <c r="M879" s="2">
        <f t="shared" si="27"/>
        <v>111.35999999999996</v>
      </c>
      <c r="N879" t="str">
        <v>Low</v>
      </c>
      <c r="O879" t="s">
        <v>63</v>
      </c>
    </row>
    <row r="880" spans="1:15" x14ac:dyDescent="0.3">
      <c r="A880" t="s">
        <v>918</v>
      </c>
      <c r="B880" s="1">
        <v>46171</v>
      </c>
      <c r="C880" t="s">
        <v>1077</v>
      </c>
      <c r="D880" t="s">
        <v>71</v>
      </c>
      <c r="E880" t="s">
        <v>1248</v>
      </c>
      <c r="F880" t="s">
        <v>1271</v>
      </c>
      <c r="G880" t="s">
        <v>60</v>
      </c>
      <c r="H880" t="s">
        <v>53</v>
      </c>
      <c r="I880">
        <v>1</v>
      </c>
      <c r="J880" s="24">
        <v>376</v>
      </c>
      <c r="K880" s="24">
        <f t="shared" si="26"/>
        <v>376</v>
      </c>
      <c r="L880" s="24">
        <v>501.37</v>
      </c>
      <c r="M880" s="2">
        <f t="shared" si="27"/>
        <v>125.37</v>
      </c>
      <c r="N880" t="str">
        <v>Low</v>
      </c>
      <c r="O880" t="s">
        <v>63</v>
      </c>
    </row>
    <row r="881" spans="1:15" x14ac:dyDescent="0.3">
      <c r="A881" t="s">
        <v>919</v>
      </c>
      <c r="B881" s="1">
        <v>46172</v>
      </c>
      <c r="C881" t="s">
        <v>1128</v>
      </c>
      <c r="D881" t="s">
        <v>72</v>
      </c>
      <c r="E881" t="s">
        <v>1246</v>
      </c>
      <c r="F881" t="s">
        <v>1286</v>
      </c>
      <c r="G881" t="s">
        <v>60</v>
      </c>
      <c r="H881" t="s">
        <v>51</v>
      </c>
      <c r="I881">
        <v>4</v>
      </c>
      <c r="J881" s="24">
        <v>155.15</v>
      </c>
      <c r="K881" s="24">
        <f t="shared" si="26"/>
        <v>620.6</v>
      </c>
      <c r="L881" s="24">
        <v>842.92</v>
      </c>
      <c r="M881" s="2">
        <f t="shared" si="27"/>
        <v>222.31999999999994</v>
      </c>
      <c r="N881" t="str">
        <v>Low</v>
      </c>
      <c r="O881" t="s">
        <v>64</v>
      </c>
    </row>
    <row r="882" spans="1:15" x14ac:dyDescent="0.3">
      <c r="A882" t="s">
        <v>920</v>
      </c>
      <c r="B882" s="1">
        <v>46173</v>
      </c>
      <c r="C882" t="s">
        <v>1116</v>
      </c>
      <c r="D882" t="s">
        <v>73</v>
      </c>
      <c r="E882" t="s">
        <v>1250</v>
      </c>
      <c r="F882" t="s">
        <v>1284</v>
      </c>
      <c r="G882" t="s">
        <v>60</v>
      </c>
      <c r="H882" t="s">
        <v>51</v>
      </c>
      <c r="I882">
        <v>2</v>
      </c>
      <c r="J882" s="24">
        <v>210.3</v>
      </c>
      <c r="K882" s="24">
        <f t="shared" si="26"/>
        <v>420.6</v>
      </c>
      <c r="L882" s="24">
        <v>533.38</v>
      </c>
      <c r="M882" s="2">
        <f t="shared" si="27"/>
        <v>112.77999999999997</v>
      </c>
      <c r="N882" t="str">
        <v>Low</v>
      </c>
      <c r="O882" t="s">
        <v>65</v>
      </c>
    </row>
    <row r="883" spans="1:15" x14ac:dyDescent="0.3">
      <c r="A883" t="s">
        <v>921</v>
      </c>
      <c r="B883" s="1">
        <v>46174</v>
      </c>
      <c r="C883" t="s">
        <v>1116</v>
      </c>
      <c r="D883" t="s">
        <v>74</v>
      </c>
      <c r="E883" t="s">
        <v>1247</v>
      </c>
      <c r="F883" t="s">
        <v>1327</v>
      </c>
      <c r="G883" t="s">
        <v>60</v>
      </c>
      <c r="H883" t="s">
        <v>52</v>
      </c>
      <c r="I883">
        <v>7</v>
      </c>
      <c r="J883" s="24">
        <v>445.14</v>
      </c>
      <c r="K883" s="24">
        <f t="shared" si="26"/>
        <v>3115.98</v>
      </c>
      <c r="L883" s="24">
        <v>3501.9</v>
      </c>
      <c r="M883" s="2">
        <f t="shared" si="27"/>
        <v>385.92000000000007</v>
      </c>
      <c r="N883" t="str">
        <v>High</v>
      </c>
      <c r="O883" t="s">
        <v>63</v>
      </c>
    </row>
    <row r="884" spans="1:15" x14ac:dyDescent="0.3">
      <c r="A884" t="s">
        <v>922</v>
      </c>
      <c r="B884" s="1">
        <v>46175</v>
      </c>
      <c r="C884" t="s">
        <v>1078</v>
      </c>
      <c r="D884" t="s">
        <v>1255</v>
      </c>
      <c r="E884" t="s">
        <v>59</v>
      </c>
      <c r="F884" t="s">
        <v>1295</v>
      </c>
      <c r="G884" t="s">
        <v>60</v>
      </c>
      <c r="H884" t="s">
        <v>53</v>
      </c>
      <c r="I884">
        <v>4</v>
      </c>
      <c r="J884" s="24">
        <v>337.11</v>
      </c>
      <c r="K884" s="24">
        <f t="shared" si="26"/>
        <v>1348.44</v>
      </c>
      <c r="L884" s="24">
        <v>1819.23</v>
      </c>
      <c r="M884" s="2">
        <f t="shared" si="27"/>
        <v>470.78999999999996</v>
      </c>
      <c r="N884" t="str">
        <v>Low</v>
      </c>
      <c r="O884" t="s">
        <v>63</v>
      </c>
    </row>
    <row r="885" spans="1:15" x14ac:dyDescent="0.3">
      <c r="A885" t="s">
        <v>923</v>
      </c>
      <c r="B885" s="1">
        <v>46176</v>
      </c>
      <c r="C885" t="s">
        <v>1220</v>
      </c>
      <c r="D885" t="s">
        <v>73</v>
      </c>
      <c r="E885" t="s">
        <v>1252</v>
      </c>
      <c r="F885" t="s">
        <v>1297</v>
      </c>
      <c r="G885" t="s">
        <v>60</v>
      </c>
      <c r="H885" t="s">
        <v>53</v>
      </c>
      <c r="I885">
        <v>10</v>
      </c>
      <c r="J885" s="24">
        <v>394.46</v>
      </c>
      <c r="K885" s="24">
        <f t="shared" si="26"/>
        <v>3944.6</v>
      </c>
      <c r="L885" s="24">
        <v>5329.35</v>
      </c>
      <c r="M885" s="2">
        <f t="shared" si="27"/>
        <v>1384.7500000000005</v>
      </c>
      <c r="N885" t="str">
        <v>High</v>
      </c>
      <c r="O885" t="s">
        <v>64</v>
      </c>
    </row>
    <row r="886" spans="1:15" x14ac:dyDescent="0.3">
      <c r="A886" t="s">
        <v>924</v>
      </c>
      <c r="B886" s="1">
        <v>46177</v>
      </c>
      <c r="C886" t="s">
        <v>1074</v>
      </c>
      <c r="D886" t="s">
        <v>74</v>
      </c>
      <c r="E886" t="s">
        <v>1249</v>
      </c>
      <c r="F886" t="s">
        <v>1321</v>
      </c>
      <c r="G886" t="s">
        <v>60</v>
      </c>
      <c r="H886" t="s">
        <v>53</v>
      </c>
      <c r="I886">
        <v>4</v>
      </c>
      <c r="J886" s="24">
        <v>441.12</v>
      </c>
      <c r="K886" s="24">
        <f t="shared" si="26"/>
        <v>1764.48</v>
      </c>
      <c r="L886" s="24">
        <v>2334.09</v>
      </c>
      <c r="M886" s="2">
        <f t="shared" si="27"/>
        <v>569.61000000000013</v>
      </c>
      <c r="N886" t="str">
        <v>High</v>
      </c>
      <c r="O886" t="s">
        <v>63</v>
      </c>
    </row>
    <row r="887" spans="1:15" x14ac:dyDescent="0.3">
      <c r="A887" t="s">
        <v>925</v>
      </c>
      <c r="B887" s="1">
        <v>46178</v>
      </c>
      <c r="C887" t="s">
        <v>1113</v>
      </c>
      <c r="D887" t="s">
        <v>74</v>
      </c>
      <c r="E887" t="s">
        <v>1247</v>
      </c>
      <c r="F887" t="s">
        <v>1327</v>
      </c>
      <c r="G887" t="s">
        <v>60</v>
      </c>
      <c r="H887" t="s">
        <v>51</v>
      </c>
      <c r="I887">
        <v>1</v>
      </c>
      <c r="J887" s="24">
        <v>369.14</v>
      </c>
      <c r="K887" s="24">
        <f t="shared" si="26"/>
        <v>369.14</v>
      </c>
      <c r="L887" s="24">
        <v>409.58</v>
      </c>
      <c r="M887" s="2">
        <f t="shared" si="27"/>
        <v>40.44</v>
      </c>
      <c r="N887" t="str">
        <v>Low</v>
      </c>
      <c r="O887" t="s">
        <v>63</v>
      </c>
    </row>
    <row r="888" spans="1:15" x14ac:dyDescent="0.3">
      <c r="A888" t="s">
        <v>926</v>
      </c>
      <c r="B888" s="1">
        <v>46179</v>
      </c>
      <c r="C888" t="s">
        <v>1143</v>
      </c>
      <c r="D888" t="s">
        <v>71</v>
      </c>
      <c r="E888" t="s">
        <v>1248</v>
      </c>
      <c r="F888" t="s">
        <v>1291</v>
      </c>
      <c r="G888" t="s">
        <v>60</v>
      </c>
      <c r="H888" t="s">
        <v>51</v>
      </c>
      <c r="I888">
        <v>7</v>
      </c>
      <c r="J888" s="24">
        <v>295.85000000000002</v>
      </c>
      <c r="K888" s="24">
        <f t="shared" si="26"/>
        <v>2070.9500000000003</v>
      </c>
      <c r="L888" s="24">
        <v>2880.43</v>
      </c>
      <c r="M888" s="2">
        <f t="shared" si="27"/>
        <v>809.47999999999956</v>
      </c>
      <c r="N888" t="str">
        <v>High</v>
      </c>
      <c r="O888" t="s">
        <v>63</v>
      </c>
    </row>
    <row r="889" spans="1:15" x14ac:dyDescent="0.3">
      <c r="A889" t="s">
        <v>927</v>
      </c>
      <c r="B889" s="1">
        <v>46180</v>
      </c>
      <c r="C889" t="s">
        <v>1120</v>
      </c>
      <c r="D889" t="s">
        <v>73</v>
      </c>
      <c r="E889" t="s">
        <v>1250</v>
      </c>
      <c r="F889" t="s">
        <v>1274</v>
      </c>
      <c r="G889" t="s">
        <v>60</v>
      </c>
      <c r="H889" t="s">
        <v>52</v>
      </c>
      <c r="I889">
        <v>10</v>
      </c>
      <c r="J889" s="24">
        <v>119.99</v>
      </c>
      <c r="K889" s="24">
        <f t="shared" si="26"/>
        <v>1199.8999999999999</v>
      </c>
      <c r="L889" s="24">
        <v>1326.11</v>
      </c>
      <c r="M889" s="2">
        <f t="shared" si="27"/>
        <v>126.21000000000004</v>
      </c>
      <c r="N889" t="str">
        <v>Low</v>
      </c>
      <c r="O889" t="s">
        <v>64</v>
      </c>
    </row>
    <row r="890" spans="1:15" x14ac:dyDescent="0.3">
      <c r="A890" t="s">
        <v>928</v>
      </c>
      <c r="B890" s="1">
        <v>46181</v>
      </c>
      <c r="C890" t="s">
        <v>1067</v>
      </c>
      <c r="D890" t="s">
        <v>71</v>
      </c>
      <c r="E890" t="s">
        <v>1251</v>
      </c>
      <c r="F890" t="s">
        <v>1279</v>
      </c>
      <c r="G890" t="s">
        <v>60</v>
      </c>
      <c r="H890" t="s">
        <v>53</v>
      </c>
      <c r="I890">
        <v>8</v>
      </c>
      <c r="J890" s="24">
        <v>191.84</v>
      </c>
      <c r="K890" s="24">
        <f t="shared" si="26"/>
        <v>1534.72</v>
      </c>
      <c r="L890" s="24">
        <v>2134.83</v>
      </c>
      <c r="M890" s="2">
        <f t="shared" si="27"/>
        <v>600.1099999999999</v>
      </c>
      <c r="N890" t="str">
        <v>High</v>
      </c>
      <c r="O890" t="s">
        <v>65</v>
      </c>
    </row>
    <row r="891" spans="1:15" x14ac:dyDescent="0.3">
      <c r="A891" t="s">
        <v>929</v>
      </c>
      <c r="B891" s="1">
        <v>46182</v>
      </c>
      <c r="C891" t="s">
        <v>1233</v>
      </c>
      <c r="D891" t="s">
        <v>71</v>
      </c>
      <c r="E891" t="s">
        <v>1241</v>
      </c>
      <c r="F891" t="s">
        <v>57</v>
      </c>
      <c r="G891" t="s">
        <v>60</v>
      </c>
      <c r="H891" t="s">
        <v>54</v>
      </c>
      <c r="I891">
        <v>8</v>
      </c>
      <c r="J891" s="24">
        <v>401.71</v>
      </c>
      <c r="K891" s="24">
        <f t="shared" si="26"/>
        <v>3213.68</v>
      </c>
      <c r="L891" s="24">
        <v>3561.03</v>
      </c>
      <c r="M891" s="2">
        <f t="shared" si="27"/>
        <v>347.35000000000036</v>
      </c>
      <c r="N891" t="str">
        <v>High</v>
      </c>
      <c r="O891" t="s">
        <v>63</v>
      </c>
    </row>
    <row r="892" spans="1:15" x14ac:dyDescent="0.3">
      <c r="A892" t="s">
        <v>930</v>
      </c>
      <c r="B892" s="1">
        <v>46183</v>
      </c>
      <c r="C892" t="s">
        <v>1182</v>
      </c>
      <c r="D892" t="s">
        <v>71</v>
      </c>
      <c r="E892" t="s">
        <v>1241</v>
      </c>
      <c r="F892" t="s">
        <v>57</v>
      </c>
      <c r="G892" t="s">
        <v>60</v>
      </c>
      <c r="H892" t="s">
        <v>53</v>
      </c>
      <c r="I892">
        <v>6</v>
      </c>
      <c r="J892" s="24">
        <v>393.77</v>
      </c>
      <c r="K892" s="24">
        <f t="shared" si="26"/>
        <v>2362.62</v>
      </c>
      <c r="L892" s="24">
        <v>3275.45</v>
      </c>
      <c r="M892" s="2">
        <f t="shared" si="27"/>
        <v>912.82999999999993</v>
      </c>
      <c r="N892" t="str">
        <v>High</v>
      </c>
      <c r="O892" t="s">
        <v>65</v>
      </c>
    </row>
    <row r="893" spans="1:15" x14ac:dyDescent="0.3">
      <c r="A893" t="s">
        <v>931</v>
      </c>
      <c r="B893" s="1">
        <v>46184</v>
      </c>
      <c r="C893" t="s">
        <v>1231</v>
      </c>
      <c r="D893" t="s">
        <v>71</v>
      </c>
      <c r="E893" t="s">
        <v>1251</v>
      </c>
      <c r="F893" t="s">
        <v>1276</v>
      </c>
      <c r="G893" t="s">
        <v>60</v>
      </c>
      <c r="H893" t="s">
        <v>54</v>
      </c>
      <c r="I893">
        <v>3</v>
      </c>
      <c r="J893" s="24">
        <v>315.41000000000003</v>
      </c>
      <c r="K893" s="24">
        <f t="shared" si="26"/>
        <v>946.23</v>
      </c>
      <c r="L893" s="24">
        <v>1397.22</v>
      </c>
      <c r="M893" s="2">
        <f t="shared" si="27"/>
        <v>450.99</v>
      </c>
      <c r="N893" t="str">
        <v>Low</v>
      </c>
      <c r="O893" t="s">
        <v>65</v>
      </c>
    </row>
    <row r="894" spans="1:15" x14ac:dyDescent="0.3">
      <c r="A894" t="s">
        <v>932</v>
      </c>
      <c r="B894" s="1">
        <v>46185</v>
      </c>
      <c r="C894" t="s">
        <v>1115</v>
      </c>
      <c r="D894" t="s">
        <v>73</v>
      </c>
      <c r="E894" t="s">
        <v>1243</v>
      </c>
      <c r="F894" t="s">
        <v>1261</v>
      </c>
      <c r="G894" t="s">
        <v>60</v>
      </c>
      <c r="H894" t="s">
        <v>51</v>
      </c>
      <c r="I894">
        <v>2</v>
      </c>
      <c r="J894" s="24">
        <v>77.41</v>
      </c>
      <c r="K894" s="24">
        <f t="shared" si="26"/>
        <v>154.82</v>
      </c>
      <c r="L894" s="24">
        <v>196.21</v>
      </c>
      <c r="M894" s="2">
        <f t="shared" si="27"/>
        <v>41.390000000000015</v>
      </c>
      <c r="N894" t="str">
        <v>Low</v>
      </c>
      <c r="O894" t="s">
        <v>65</v>
      </c>
    </row>
    <row r="895" spans="1:15" x14ac:dyDescent="0.3">
      <c r="A895" t="s">
        <v>933</v>
      </c>
      <c r="B895" s="1">
        <v>46186</v>
      </c>
      <c r="C895" t="s">
        <v>1221</v>
      </c>
      <c r="D895" t="s">
        <v>74</v>
      </c>
      <c r="E895" t="s">
        <v>1247</v>
      </c>
      <c r="F895" t="s">
        <v>1285</v>
      </c>
      <c r="G895" t="s">
        <v>60</v>
      </c>
      <c r="H895" t="s">
        <v>53</v>
      </c>
      <c r="I895">
        <v>2</v>
      </c>
      <c r="J895" s="24">
        <v>439.29</v>
      </c>
      <c r="K895" s="24">
        <f t="shared" si="26"/>
        <v>878.58</v>
      </c>
      <c r="L895" s="24">
        <v>1170.0899999999999</v>
      </c>
      <c r="M895" s="2">
        <f t="shared" si="27"/>
        <v>291.50999999999988</v>
      </c>
      <c r="N895" t="str">
        <v>Low</v>
      </c>
      <c r="O895" t="s">
        <v>63</v>
      </c>
    </row>
    <row r="896" spans="1:15" x14ac:dyDescent="0.3">
      <c r="A896" t="s">
        <v>934</v>
      </c>
      <c r="B896" s="1">
        <v>46187</v>
      </c>
      <c r="C896" t="s">
        <v>1066</v>
      </c>
      <c r="D896" t="s">
        <v>74</v>
      </c>
      <c r="E896" t="s">
        <v>1249</v>
      </c>
      <c r="F896" t="s">
        <v>1270</v>
      </c>
      <c r="G896" t="s">
        <v>60</v>
      </c>
      <c r="H896" t="s">
        <v>53</v>
      </c>
      <c r="I896">
        <v>9</v>
      </c>
      <c r="J896" s="24">
        <v>109.55</v>
      </c>
      <c r="K896" s="24">
        <f t="shared" si="26"/>
        <v>985.94999999999993</v>
      </c>
      <c r="L896" s="24">
        <v>1455.15</v>
      </c>
      <c r="M896" s="2">
        <f t="shared" si="27"/>
        <v>469.20000000000016</v>
      </c>
      <c r="N896" t="str">
        <v>Low</v>
      </c>
      <c r="O896" t="s">
        <v>63</v>
      </c>
    </row>
    <row r="897" spans="1:15" x14ac:dyDescent="0.3">
      <c r="A897" t="s">
        <v>935</v>
      </c>
      <c r="B897" s="1">
        <v>46188</v>
      </c>
      <c r="C897" t="s">
        <v>1085</v>
      </c>
      <c r="D897" t="s">
        <v>71</v>
      </c>
      <c r="E897" t="s">
        <v>1248</v>
      </c>
      <c r="F897" t="s">
        <v>1329</v>
      </c>
      <c r="G897" t="s">
        <v>60</v>
      </c>
      <c r="H897" t="s">
        <v>51</v>
      </c>
      <c r="I897">
        <v>8</v>
      </c>
      <c r="J897" s="24">
        <v>106.89</v>
      </c>
      <c r="K897" s="24">
        <f t="shared" si="26"/>
        <v>855.12</v>
      </c>
      <c r="L897" s="24">
        <v>1179.54</v>
      </c>
      <c r="M897" s="2">
        <f t="shared" si="27"/>
        <v>324.41999999999996</v>
      </c>
      <c r="N897" t="str">
        <v>Low</v>
      </c>
      <c r="O897" t="s">
        <v>65</v>
      </c>
    </row>
    <row r="898" spans="1:15" x14ac:dyDescent="0.3">
      <c r="A898" t="s">
        <v>936</v>
      </c>
      <c r="B898" s="1">
        <v>46189</v>
      </c>
      <c r="C898" t="s">
        <v>1140</v>
      </c>
      <c r="D898" t="s">
        <v>73</v>
      </c>
      <c r="E898" t="s">
        <v>1252</v>
      </c>
      <c r="F898" t="s">
        <v>1297</v>
      </c>
      <c r="G898" t="s">
        <v>60</v>
      </c>
      <c r="H898" t="s">
        <v>53</v>
      </c>
      <c r="I898">
        <v>4</v>
      </c>
      <c r="J898" s="24">
        <v>323.89999999999998</v>
      </c>
      <c r="K898" s="24">
        <f t="shared" si="26"/>
        <v>1295.5999999999999</v>
      </c>
      <c r="L898" s="24">
        <v>1649.33</v>
      </c>
      <c r="M898" s="2">
        <f t="shared" si="27"/>
        <v>353.73</v>
      </c>
      <c r="N898" t="str">
        <v>Low</v>
      </c>
      <c r="O898" t="s">
        <v>64</v>
      </c>
    </row>
    <row r="899" spans="1:15" x14ac:dyDescent="0.3">
      <c r="A899" t="s">
        <v>937</v>
      </c>
      <c r="B899" s="1">
        <v>46190</v>
      </c>
      <c r="C899" t="s">
        <v>1090</v>
      </c>
      <c r="D899" t="s">
        <v>73</v>
      </c>
      <c r="E899" t="s">
        <v>1243</v>
      </c>
      <c r="F899" t="s">
        <v>1303</v>
      </c>
      <c r="G899" t="s">
        <v>60</v>
      </c>
      <c r="H899" t="s">
        <v>51</v>
      </c>
      <c r="I899">
        <v>7</v>
      </c>
      <c r="J899" s="24">
        <v>303.77999999999997</v>
      </c>
      <c r="K899" s="24">
        <f t="shared" ref="K899:K962" si="28">J899*I899</f>
        <v>2126.46</v>
      </c>
      <c r="L899" s="24">
        <v>3104.22</v>
      </c>
      <c r="M899" s="2">
        <f t="shared" ref="M899:M962" si="29">L899-K899</f>
        <v>977.75999999999976</v>
      </c>
      <c r="N899" t="str">
        <v>High</v>
      </c>
      <c r="O899" t="s">
        <v>65</v>
      </c>
    </row>
    <row r="900" spans="1:15" x14ac:dyDescent="0.3">
      <c r="A900" t="s">
        <v>938</v>
      </c>
      <c r="B900" s="1">
        <v>46191</v>
      </c>
      <c r="C900" t="s">
        <v>1234</v>
      </c>
      <c r="D900" t="s">
        <v>71</v>
      </c>
      <c r="E900" t="s">
        <v>1241</v>
      </c>
      <c r="F900" t="s">
        <v>57</v>
      </c>
      <c r="G900" t="s">
        <v>60</v>
      </c>
      <c r="H900" t="s">
        <v>52</v>
      </c>
      <c r="I900">
        <v>8</v>
      </c>
      <c r="J900" s="24">
        <v>24.01</v>
      </c>
      <c r="K900" s="24">
        <f t="shared" si="28"/>
        <v>192.08</v>
      </c>
      <c r="L900" s="24">
        <v>246.71</v>
      </c>
      <c r="M900" s="2">
        <f t="shared" si="29"/>
        <v>54.629999999999995</v>
      </c>
      <c r="N900" t="str">
        <v>Low</v>
      </c>
      <c r="O900" t="s">
        <v>63</v>
      </c>
    </row>
    <row r="901" spans="1:15" x14ac:dyDescent="0.3">
      <c r="A901" t="s">
        <v>939</v>
      </c>
      <c r="B901" s="1">
        <v>46192</v>
      </c>
      <c r="C901" t="s">
        <v>1101</v>
      </c>
      <c r="D901" t="s">
        <v>1255</v>
      </c>
      <c r="E901" t="s">
        <v>59</v>
      </c>
      <c r="F901" t="s">
        <v>1295</v>
      </c>
      <c r="G901" t="s">
        <v>60</v>
      </c>
      <c r="H901" t="s">
        <v>51</v>
      </c>
      <c r="I901">
        <v>8</v>
      </c>
      <c r="J901" s="24">
        <v>351.18</v>
      </c>
      <c r="K901" s="24">
        <f t="shared" si="28"/>
        <v>2809.44</v>
      </c>
      <c r="L901" s="24">
        <v>4100.76</v>
      </c>
      <c r="M901" s="2">
        <f t="shared" si="29"/>
        <v>1291.3200000000002</v>
      </c>
      <c r="N901" t="str">
        <v>High</v>
      </c>
      <c r="O901" t="s">
        <v>64</v>
      </c>
    </row>
    <row r="902" spans="1:15" x14ac:dyDescent="0.3">
      <c r="A902" t="s">
        <v>940</v>
      </c>
      <c r="B902" s="1">
        <v>46193</v>
      </c>
      <c r="C902" t="s">
        <v>1068</v>
      </c>
      <c r="D902" t="s">
        <v>74</v>
      </c>
      <c r="E902" t="s">
        <v>1244</v>
      </c>
      <c r="F902" t="s">
        <v>1314</v>
      </c>
      <c r="G902" t="s">
        <v>60</v>
      </c>
      <c r="H902" t="s">
        <v>51</v>
      </c>
      <c r="I902">
        <v>9</v>
      </c>
      <c r="J902" s="24">
        <v>441.04</v>
      </c>
      <c r="K902" s="24">
        <f t="shared" si="28"/>
        <v>3969.36</v>
      </c>
      <c r="L902" s="24">
        <v>4479.82</v>
      </c>
      <c r="M902" s="2">
        <f t="shared" si="29"/>
        <v>510.45999999999958</v>
      </c>
      <c r="N902" t="str">
        <v>High</v>
      </c>
      <c r="O902" t="s">
        <v>65</v>
      </c>
    </row>
    <row r="903" spans="1:15" x14ac:dyDescent="0.3">
      <c r="A903" t="s">
        <v>941</v>
      </c>
      <c r="B903" s="1">
        <v>46194</v>
      </c>
      <c r="C903" t="s">
        <v>1054</v>
      </c>
      <c r="D903" t="s">
        <v>71</v>
      </c>
      <c r="E903" t="s">
        <v>1251</v>
      </c>
      <c r="F903" t="s">
        <v>1326</v>
      </c>
      <c r="G903" t="s">
        <v>60</v>
      </c>
      <c r="H903" t="s">
        <v>52</v>
      </c>
      <c r="I903">
        <v>4</v>
      </c>
      <c r="J903" s="24">
        <v>259.77</v>
      </c>
      <c r="K903" s="24">
        <f t="shared" si="28"/>
        <v>1039.08</v>
      </c>
      <c r="L903" s="24">
        <v>1445.75</v>
      </c>
      <c r="M903" s="2">
        <f t="shared" si="29"/>
        <v>406.67000000000007</v>
      </c>
      <c r="N903" t="str">
        <v>Low</v>
      </c>
      <c r="O903" t="s">
        <v>64</v>
      </c>
    </row>
    <row r="904" spans="1:15" x14ac:dyDescent="0.3">
      <c r="A904" t="s">
        <v>942</v>
      </c>
      <c r="B904" s="1">
        <v>46195</v>
      </c>
      <c r="C904" t="s">
        <v>1103</v>
      </c>
      <c r="D904" t="s">
        <v>71</v>
      </c>
      <c r="E904" t="s">
        <v>1254</v>
      </c>
      <c r="F904" t="s">
        <v>1307</v>
      </c>
      <c r="G904" t="s">
        <v>60</v>
      </c>
      <c r="H904" t="s">
        <v>53</v>
      </c>
      <c r="I904">
        <v>5</v>
      </c>
      <c r="J904" s="24">
        <v>384.1</v>
      </c>
      <c r="K904" s="24">
        <f t="shared" si="28"/>
        <v>1920.5</v>
      </c>
      <c r="L904" s="24">
        <v>2476.13</v>
      </c>
      <c r="M904" s="2">
        <f t="shared" si="29"/>
        <v>555.63000000000011</v>
      </c>
      <c r="N904" t="str">
        <v>High</v>
      </c>
      <c r="O904" t="s">
        <v>64</v>
      </c>
    </row>
    <row r="905" spans="1:15" x14ac:dyDescent="0.3">
      <c r="A905" t="s">
        <v>943</v>
      </c>
      <c r="B905" s="1">
        <v>46196</v>
      </c>
      <c r="C905" t="s">
        <v>1231</v>
      </c>
      <c r="D905" t="s">
        <v>72</v>
      </c>
      <c r="E905" t="s">
        <v>1253</v>
      </c>
      <c r="F905" t="s">
        <v>1281</v>
      </c>
      <c r="G905" t="s">
        <v>60</v>
      </c>
      <c r="H905" t="s">
        <v>51</v>
      </c>
      <c r="I905">
        <v>1</v>
      </c>
      <c r="J905" s="24">
        <v>447.32</v>
      </c>
      <c r="K905" s="24">
        <f t="shared" si="28"/>
        <v>447.32</v>
      </c>
      <c r="L905" s="24">
        <v>521.09</v>
      </c>
      <c r="M905" s="2">
        <f t="shared" si="29"/>
        <v>73.770000000000039</v>
      </c>
      <c r="N905" t="str">
        <v>Low</v>
      </c>
      <c r="O905" t="s">
        <v>64</v>
      </c>
    </row>
    <row r="906" spans="1:15" x14ac:dyDescent="0.3">
      <c r="A906" t="s">
        <v>944</v>
      </c>
      <c r="B906" s="1">
        <v>46197</v>
      </c>
      <c r="C906" t="s">
        <v>1126</v>
      </c>
      <c r="D906" t="s">
        <v>72</v>
      </c>
      <c r="E906" t="s">
        <v>1246</v>
      </c>
      <c r="F906" t="s">
        <v>1300</v>
      </c>
      <c r="G906" t="s">
        <v>60</v>
      </c>
      <c r="H906" t="s">
        <v>53</v>
      </c>
      <c r="I906">
        <v>4</v>
      </c>
      <c r="J906" s="24">
        <v>339.63</v>
      </c>
      <c r="K906" s="24">
        <f t="shared" si="28"/>
        <v>1358.52</v>
      </c>
      <c r="L906" s="24">
        <v>1540.92</v>
      </c>
      <c r="M906" s="2">
        <f t="shared" si="29"/>
        <v>182.40000000000009</v>
      </c>
      <c r="N906" t="str">
        <v>Low</v>
      </c>
      <c r="O906" t="s">
        <v>64</v>
      </c>
    </row>
    <row r="907" spans="1:15" x14ac:dyDescent="0.3">
      <c r="A907" t="s">
        <v>945</v>
      </c>
      <c r="B907" s="1">
        <v>46198</v>
      </c>
      <c r="C907" t="s">
        <v>1211</v>
      </c>
      <c r="D907" t="s">
        <v>73</v>
      </c>
      <c r="E907" t="s">
        <v>1252</v>
      </c>
      <c r="F907" t="s">
        <v>1278</v>
      </c>
      <c r="G907" t="s">
        <v>60</v>
      </c>
      <c r="H907" t="s">
        <v>54</v>
      </c>
      <c r="I907">
        <v>8</v>
      </c>
      <c r="J907" s="24">
        <v>203.43</v>
      </c>
      <c r="K907" s="24">
        <f t="shared" si="28"/>
        <v>1627.44</v>
      </c>
      <c r="L907" s="24">
        <v>2405.17</v>
      </c>
      <c r="M907" s="2">
        <f t="shared" si="29"/>
        <v>777.73</v>
      </c>
      <c r="N907" t="str">
        <v>High</v>
      </c>
      <c r="O907" t="s">
        <v>65</v>
      </c>
    </row>
    <row r="908" spans="1:15" x14ac:dyDescent="0.3">
      <c r="A908" t="s">
        <v>946</v>
      </c>
      <c r="B908" s="1">
        <v>46199</v>
      </c>
      <c r="C908" t="s">
        <v>1104</v>
      </c>
      <c r="D908" t="s">
        <v>72</v>
      </c>
      <c r="E908" t="s">
        <v>1246</v>
      </c>
      <c r="F908" t="s">
        <v>1286</v>
      </c>
      <c r="G908" t="s">
        <v>60</v>
      </c>
      <c r="H908" t="s">
        <v>54</v>
      </c>
      <c r="I908">
        <v>6</v>
      </c>
      <c r="J908" s="24">
        <v>461.1</v>
      </c>
      <c r="K908" s="24">
        <f t="shared" si="28"/>
        <v>2766.6000000000004</v>
      </c>
      <c r="L908" s="24">
        <v>3687.47</v>
      </c>
      <c r="M908" s="2">
        <f t="shared" si="29"/>
        <v>920.86999999999944</v>
      </c>
      <c r="N908" t="str">
        <v>High</v>
      </c>
      <c r="O908" t="s">
        <v>65</v>
      </c>
    </row>
    <row r="909" spans="1:15" x14ac:dyDescent="0.3">
      <c r="A909" t="s">
        <v>947</v>
      </c>
      <c r="B909" s="1">
        <v>46200</v>
      </c>
      <c r="C909" t="s">
        <v>1071</v>
      </c>
      <c r="D909" t="s">
        <v>71</v>
      </c>
      <c r="E909" t="s">
        <v>1254</v>
      </c>
      <c r="F909" t="s">
        <v>1292</v>
      </c>
      <c r="G909" t="s">
        <v>60</v>
      </c>
      <c r="H909" t="s">
        <v>51</v>
      </c>
      <c r="I909">
        <v>3</v>
      </c>
      <c r="J909" s="24">
        <v>468.53</v>
      </c>
      <c r="K909" s="24">
        <f t="shared" si="28"/>
        <v>1405.59</v>
      </c>
      <c r="L909" s="24">
        <v>1675.78</v>
      </c>
      <c r="M909" s="2">
        <f t="shared" si="29"/>
        <v>270.19000000000005</v>
      </c>
      <c r="N909" t="str">
        <v>Low</v>
      </c>
      <c r="O909" t="s">
        <v>65</v>
      </c>
    </row>
    <row r="910" spans="1:15" x14ac:dyDescent="0.3">
      <c r="A910" t="s">
        <v>948</v>
      </c>
      <c r="B910" s="1">
        <v>46201</v>
      </c>
      <c r="C910" t="s">
        <v>1100</v>
      </c>
      <c r="D910" t="s">
        <v>72</v>
      </c>
      <c r="E910" t="s">
        <v>1245</v>
      </c>
      <c r="F910" t="s">
        <v>1305</v>
      </c>
      <c r="G910" t="s">
        <v>60</v>
      </c>
      <c r="H910" t="s">
        <v>52</v>
      </c>
      <c r="I910">
        <v>4</v>
      </c>
      <c r="J910" s="24">
        <v>325.08999999999997</v>
      </c>
      <c r="K910" s="24">
        <f t="shared" si="28"/>
        <v>1300.3599999999999</v>
      </c>
      <c r="L910" s="24">
        <v>1829.6</v>
      </c>
      <c r="M910" s="2">
        <f t="shared" si="29"/>
        <v>529.24</v>
      </c>
      <c r="N910" t="str">
        <v>Low</v>
      </c>
      <c r="O910" t="s">
        <v>65</v>
      </c>
    </row>
    <row r="911" spans="1:15" x14ac:dyDescent="0.3">
      <c r="A911" t="s">
        <v>949</v>
      </c>
      <c r="B911" s="1">
        <v>46202</v>
      </c>
      <c r="C911" t="s">
        <v>1043</v>
      </c>
      <c r="D911" t="s">
        <v>74</v>
      </c>
      <c r="E911" t="s">
        <v>1249</v>
      </c>
      <c r="F911" t="s">
        <v>1321</v>
      </c>
      <c r="G911" t="s">
        <v>60</v>
      </c>
      <c r="H911" t="s">
        <v>51</v>
      </c>
      <c r="I911">
        <v>7</v>
      </c>
      <c r="J911" s="24">
        <v>436.37</v>
      </c>
      <c r="K911" s="24">
        <f t="shared" si="28"/>
        <v>3054.59</v>
      </c>
      <c r="L911" s="24">
        <v>3708.09</v>
      </c>
      <c r="M911" s="2">
        <f t="shared" si="29"/>
        <v>653.5</v>
      </c>
      <c r="N911" t="str">
        <v>High</v>
      </c>
      <c r="O911" t="s">
        <v>65</v>
      </c>
    </row>
    <row r="912" spans="1:15" x14ac:dyDescent="0.3">
      <c r="A912" t="s">
        <v>950</v>
      </c>
      <c r="B912" s="1">
        <v>46203</v>
      </c>
      <c r="C912" t="s">
        <v>1116</v>
      </c>
      <c r="D912" t="s">
        <v>71</v>
      </c>
      <c r="E912" t="s">
        <v>1248</v>
      </c>
      <c r="F912" t="s">
        <v>1269</v>
      </c>
      <c r="G912" t="s">
        <v>60</v>
      </c>
      <c r="H912" t="s">
        <v>52</v>
      </c>
      <c r="I912">
        <v>9</v>
      </c>
      <c r="J912" s="24">
        <v>252.12</v>
      </c>
      <c r="K912" s="24">
        <f t="shared" si="28"/>
        <v>2269.08</v>
      </c>
      <c r="L912" s="24">
        <v>3080.63</v>
      </c>
      <c r="M912" s="2">
        <f t="shared" si="29"/>
        <v>811.55000000000018</v>
      </c>
      <c r="N912" t="str">
        <v>High</v>
      </c>
      <c r="O912" t="s">
        <v>63</v>
      </c>
    </row>
    <row r="913" spans="1:15" x14ac:dyDescent="0.3">
      <c r="A913" t="s">
        <v>951</v>
      </c>
      <c r="B913" s="1">
        <v>46204</v>
      </c>
      <c r="C913" t="s">
        <v>1049</v>
      </c>
      <c r="D913" t="s">
        <v>72</v>
      </c>
      <c r="E913" t="s">
        <v>1253</v>
      </c>
      <c r="F913" t="s">
        <v>1318</v>
      </c>
      <c r="G913" t="s">
        <v>60</v>
      </c>
      <c r="H913" t="s">
        <v>51</v>
      </c>
      <c r="I913">
        <v>3</v>
      </c>
      <c r="J913" s="24">
        <v>439.5</v>
      </c>
      <c r="K913" s="24">
        <f t="shared" si="28"/>
        <v>1318.5</v>
      </c>
      <c r="L913" s="24">
        <v>1565.99</v>
      </c>
      <c r="M913" s="2">
        <f t="shared" si="29"/>
        <v>247.49</v>
      </c>
      <c r="N913" t="str">
        <v>Low</v>
      </c>
      <c r="O913" t="s">
        <v>64</v>
      </c>
    </row>
    <row r="914" spans="1:15" x14ac:dyDescent="0.3">
      <c r="A914" t="s">
        <v>952</v>
      </c>
      <c r="B914" s="1">
        <v>46205</v>
      </c>
      <c r="C914" t="s">
        <v>1190</v>
      </c>
      <c r="D914" t="s">
        <v>73</v>
      </c>
      <c r="E914" t="s">
        <v>1250</v>
      </c>
      <c r="F914" t="s">
        <v>1274</v>
      </c>
      <c r="G914" t="s">
        <v>60</v>
      </c>
      <c r="H914" t="s">
        <v>51</v>
      </c>
      <c r="I914">
        <v>4</v>
      </c>
      <c r="J914" s="24">
        <v>179.85</v>
      </c>
      <c r="K914" s="24">
        <f t="shared" si="28"/>
        <v>719.4</v>
      </c>
      <c r="L914" s="24">
        <v>962.8</v>
      </c>
      <c r="M914" s="2">
        <f t="shared" si="29"/>
        <v>243.39999999999998</v>
      </c>
      <c r="N914" t="str">
        <v>Low</v>
      </c>
      <c r="O914" t="s">
        <v>64</v>
      </c>
    </row>
    <row r="915" spans="1:15" x14ac:dyDescent="0.3">
      <c r="A915" t="s">
        <v>953</v>
      </c>
      <c r="B915" s="1">
        <v>46206</v>
      </c>
      <c r="C915" t="s">
        <v>1202</v>
      </c>
      <c r="D915" t="s">
        <v>71</v>
      </c>
      <c r="E915" t="s">
        <v>1240</v>
      </c>
      <c r="F915" t="s">
        <v>1273</v>
      </c>
      <c r="G915" t="s">
        <v>60</v>
      </c>
      <c r="H915" t="s">
        <v>52</v>
      </c>
      <c r="I915">
        <v>3</v>
      </c>
      <c r="J915" s="24">
        <v>53.93</v>
      </c>
      <c r="K915" s="24">
        <f t="shared" si="28"/>
        <v>161.79</v>
      </c>
      <c r="L915" s="24">
        <v>214.69</v>
      </c>
      <c r="M915" s="2">
        <f t="shared" si="29"/>
        <v>52.900000000000006</v>
      </c>
      <c r="N915" t="str">
        <v>Low</v>
      </c>
      <c r="O915" t="s">
        <v>64</v>
      </c>
    </row>
    <row r="916" spans="1:15" x14ac:dyDescent="0.3">
      <c r="A916" t="s">
        <v>954</v>
      </c>
      <c r="B916" s="1">
        <v>46207</v>
      </c>
      <c r="C916" t="s">
        <v>1192</v>
      </c>
      <c r="D916" t="s">
        <v>72</v>
      </c>
      <c r="E916" t="s">
        <v>1242</v>
      </c>
      <c r="F916" t="s">
        <v>1332</v>
      </c>
      <c r="G916" t="s">
        <v>60</v>
      </c>
      <c r="H916" t="s">
        <v>54</v>
      </c>
      <c r="I916">
        <v>8</v>
      </c>
      <c r="J916" s="24">
        <v>475.65</v>
      </c>
      <c r="K916" s="24">
        <f t="shared" si="28"/>
        <v>3805.2</v>
      </c>
      <c r="L916" s="24">
        <v>5387.86</v>
      </c>
      <c r="M916" s="2">
        <f t="shared" si="29"/>
        <v>1582.6599999999999</v>
      </c>
      <c r="N916" t="str">
        <v>High</v>
      </c>
      <c r="O916" t="s">
        <v>63</v>
      </c>
    </row>
    <row r="917" spans="1:15" x14ac:dyDescent="0.3">
      <c r="A917" t="s">
        <v>955</v>
      </c>
      <c r="B917" s="1">
        <v>46208</v>
      </c>
      <c r="C917" t="s">
        <v>1118</v>
      </c>
      <c r="D917" t="s">
        <v>71</v>
      </c>
      <c r="E917" t="s">
        <v>1240</v>
      </c>
      <c r="F917" t="s">
        <v>1273</v>
      </c>
      <c r="G917" t="s">
        <v>60</v>
      </c>
      <c r="H917" t="s">
        <v>53</v>
      </c>
      <c r="I917">
        <v>2</v>
      </c>
      <c r="J917" s="24">
        <v>496.91</v>
      </c>
      <c r="K917" s="24">
        <f t="shared" si="28"/>
        <v>993.82</v>
      </c>
      <c r="L917" s="24">
        <v>1421.66</v>
      </c>
      <c r="M917" s="2">
        <f t="shared" si="29"/>
        <v>427.84000000000003</v>
      </c>
      <c r="N917" t="str">
        <v>Low</v>
      </c>
      <c r="O917" t="s">
        <v>64</v>
      </c>
    </row>
    <row r="918" spans="1:15" x14ac:dyDescent="0.3">
      <c r="A918" t="s">
        <v>956</v>
      </c>
      <c r="B918" s="1">
        <v>46209</v>
      </c>
      <c r="C918" t="s">
        <v>1087</v>
      </c>
      <c r="D918" t="s">
        <v>72</v>
      </c>
      <c r="E918" t="s">
        <v>1246</v>
      </c>
      <c r="F918" t="s">
        <v>1293</v>
      </c>
      <c r="G918" t="s">
        <v>60</v>
      </c>
      <c r="H918" t="s">
        <v>53</v>
      </c>
      <c r="I918">
        <v>1</v>
      </c>
      <c r="J918" s="24">
        <v>362.88</v>
      </c>
      <c r="K918" s="24">
        <f t="shared" si="28"/>
        <v>362.88</v>
      </c>
      <c r="L918" s="24">
        <v>500.59</v>
      </c>
      <c r="M918" s="2">
        <f t="shared" si="29"/>
        <v>137.70999999999998</v>
      </c>
      <c r="N918" t="str">
        <v>Low</v>
      </c>
      <c r="O918" t="s">
        <v>63</v>
      </c>
    </row>
    <row r="919" spans="1:15" x14ac:dyDescent="0.3">
      <c r="A919" t="s">
        <v>957</v>
      </c>
      <c r="B919" s="1">
        <v>46210</v>
      </c>
      <c r="C919" t="s">
        <v>1205</v>
      </c>
      <c r="D919" t="s">
        <v>74</v>
      </c>
      <c r="E919" t="s">
        <v>1249</v>
      </c>
      <c r="F919" t="s">
        <v>1325</v>
      </c>
      <c r="G919" t="s">
        <v>60</v>
      </c>
      <c r="H919" t="s">
        <v>53</v>
      </c>
      <c r="I919">
        <v>8</v>
      </c>
      <c r="J919" s="24">
        <v>101.79</v>
      </c>
      <c r="K919" s="24">
        <f t="shared" si="28"/>
        <v>814.32</v>
      </c>
      <c r="L919" s="24">
        <v>1210.02</v>
      </c>
      <c r="M919" s="2">
        <f t="shared" si="29"/>
        <v>395.69999999999993</v>
      </c>
      <c r="N919" t="str">
        <v>Low</v>
      </c>
      <c r="O919" t="s">
        <v>65</v>
      </c>
    </row>
    <row r="920" spans="1:15" x14ac:dyDescent="0.3">
      <c r="A920" t="s">
        <v>958</v>
      </c>
      <c r="B920" s="1">
        <v>46211</v>
      </c>
      <c r="C920" t="s">
        <v>1227</v>
      </c>
      <c r="D920" t="s">
        <v>73</v>
      </c>
      <c r="E920" t="s">
        <v>1252</v>
      </c>
      <c r="F920" t="s">
        <v>1289</v>
      </c>
      <c r="G920" t="s">
        <v>60</v>
      </c>
      <c r="H920" t="s">
        <v>51</v>
      </c>
      <c r="I920">
        <v>6</v>
      </c>
      <c r="J920" s="24">
        <v>245.21</v>
      </c>
      <c r="K920" s="24">
        <f t="shared" si="28"/>
        <v>1471.26</v>
      </c>
      <c r="L920" s="24">
        <v>1911.46</v>
      </c>
      <c r="M920" s="2">
        <f t="shared" si="29"/>
        <v>440.20000000000005</v>
      </c>
      <c r="N920" t="str">
        <v>Low</v>
      </c>
      <c r="O920" t="s">
        <v>65</v>
      </c>
    </row>
    <row r="921" spans="1:15" x14ac:dyDescent="0.3">
      <c r="A921" t="s">
        <v>959</v>
      </c>
      <c r="B921" s="1">
        <v>46212</v>
      </c>
      <c r="C921" t="s">
        <v>1229</v>
      </c>
      <c r="D921" t="s">
        <v>72</v>
      </c>
      <c r="E921" t="s">
        <v>1253</v>
      </c>
      <c r="F921" t="s">
        <v>1298</v>
      </c>
      <c r="G921" t="s">
        <v>60</v>
      </c>
      <c r="H921" t="s">
        <v>52</v>
      </c>
      <c r="I921">
        <v>1</v>
      </c>
      <c r="J921" s="24">
        <v>262.07</v>
      </c>
      <c r="K921" s="24">
        <f t="shared" si="28"/>
        <v>262.07</v>
      </c>
      <c r="L921" s="24">
        <v>343.94</v>
      </c>
      <c r="M921" s="2">
        <f t="shared" si="29"/>
        <v>81.87</v>
      </c>
      <c r="N921" t="str">
        <v>Low</v>
      </c>
      <c r="O921" t="s">
        <v>65</v>
      </c>
    </row>
    <row r="922" spans="1:15" x14ac:dyDescent="0.3">
      <c r="A922" t="s">
        <v>960</v>
      </c>
      <c r="B922" s="1">
        <v>46213</v>
      </c>
      <c r="C922" t="s">
        <v>1080</v>
      </c>
      <c r="D922" t="s">
        <v>1255</v>
      </c>
      <c r="E922" t="s">
        <v>59</v>
      </c>
      <c r="F922" t="s">
        <v>1266</v>
      </c>
      <c r="G922" t="s">
        <v>60</v>
      </c>
      <c r="H922" t="s">
        <v>52</v>
      </c>
      <c r="I922">
        <v>3</v>
      </c>
      <c r="J922" s="24">
        <v>131.11000000000001</v>
      </c>
      <c r="K922" s="24">
        <f t="shared" si="28"/>
        <v>393.33000000000004</v>
      </c>
      <c r="L922" s="24">
        <v>467.59</v>
      </c>
      <c r="M922" s="2">
        <f t="shared" si="29"/>
        <v>74.259999999999934</v>
      </c>
      <c r="N922" t="str">
        <v>Low</v>
      </c>
      <c r="O922" t="s">
        <v>63</v>
      </c>
    </row>
    <row r="923" spans="1:15" x14ac:dyDescent="0.3">
      <c r="A923" t="s">
        <v>961</v>
      </c>
      <c r="B923" s="1">
        <v>46214</v>
      </c>
      <c r="C923" t="s">
        <v>1215</v>
      </c>
      <c r="D923" t="s">
        <v>74</v>
      </c>
      <c r="E923" t="s">
        <v>1247</v>
      </c>
      <c r="F923" t="s">
        <v>1283</v>
      </c>
      <c r="G923" t="s">
        <v>60</v>
      </c>
      <c r="H923" t="s">
        <v>52</v>
      </c>
      <c r="I923">
        <v>4</v>
      </c>
      <c r="J923" s="24">
        <v>45.58</v>
      </c>
      <c r="K923" s="24">
        <f t="shared" si="28"/>
        <v>182.32</v>
      </c>
      <c r="L923" s="24">
        <v>231.94</v>
      </c>
      <c r="M923" s="2">
        <f t="shared" si="29"/>
        <v>49.620000000000005</v>
      </c>
      <c r="N923" t="str">
        <v>Low</v>
      </c>
      <c r="O923" t="s">
        <v>63</v>
      </c>
    </row>
    <row r="924" spans="1:15" x14ac:dyDescent="0.3">
      <c r="A924" t="s">
        <v>962</v>
      </c>
      <c r="B924" s="1">
        <v>46215</v>
      </c>
      <c r="C924" t="s">
        <v>1178</v>
      </c>
      <c r="D924" t="s">
        <v>71</v>
      </c>
      <c r="E924" t="s">
        <v>1248</v>
      </c>
      <c r="F924" t="s">
        <v>1291</v>
      </c>
      <c r="G924" t="s">
        <v>60</v>
      </c>
      <c r="H924" t="s">
        <v>52</v>
      </c>
      <c r="I924">
        <v>7</v>
      </c>
      <c r="J924" s="24">
        <v>259.58999999999997</v>
      </c>
      <c r="K924" s="24">
        <f t="shared" si="28"/>
        <v>1817.1299999999999</v>
      </c>
      <c r="L924" s="24">
        <v>2704.43</v>
      </c>
      <c r="M924" s="2">
        <f t="shared" si="29"/>
        <v>887.3</v>
      </c>
      <c r="N924" t="str">
        <v>High</v>
      </c>
      <c r="O924" t="s">
        <v>63</v>
      </c>
    </row>
    <row r="925" spans="1:15" x14ac:dyDescent="0.3">
      <c r="A925" t="s">
        <v>963</v>
      </c>
      <c r="B925" s="1">
        <v>46216</v>
      </c>
      <c r="C925" t="s">
        <v>1170</v>
      </c>
      <c r="D925" t="s">
        <v>74</v>
      </c>
      <c r="E925" t="s">
        <v>1247</v>
      </c>
      <c r="F925" t="s">
        <v>1268</v>
      </c>
      <c r="G925" t="s">
        <v>60</v>
      </c>
      <c r="H925" t="s">
        <v>53</v>
      </c>
      <c r="I925">
        <v>10</v>
      </c>
      <c r="J925" s="24">
        <v>327.67</v>
      </c>
      <c r="K925" s="24">
        <f t="shared" si="28"/>
        <v>3276.7000000000003</v>
      </c>
      <c r="L925" s="24">
        <v>4392.8999999999996</v>
      </c>
      <c r="M925" s="2">
        <f t="shared" si="29"/>
        <v>1116.1999999999994</v>
      </c>
      <c r="N925" t="str">
        <v>High</v>
      </c>
      <c r="O925" t="s">
        <v>63</v>
      </c>
    </row>
    <row r="926" spans="1:15" x14ac:dyDescent="0.3">
      <c r="A926" t="s">
        <v>964</v>
      </c>
      <c r="B926" s="1">
        <v>46217</v>
      </c>
      <c r="C926" t="s">
        <v>1180</v>
      </c>
      <c r="D926" t="s">
        <v>72</v>
      </c>
      <c r="E926" t="s">
        <v>1246</v>
      </c>
      <c r="F926" t="s">
        <v>1286</v>
      </c>
      <c r="G926" t="s">
        <v>60</v>
      </c>
      <c r="H926" t="s">
        <v>52</v>
      </c>
      <c r="I926">
        <v>3</v>
      </c>
      <c r="J926" s="24">
        <v>270.38</v>
      </c>
      <c r="K926" s="24">
        <f t="shared" si="28"/>
        <v>811.14</v>
      </c>
      <c r="L926" s="24">
        <v>1173.92</v>
      </c>
      <c r="M926" s="2">
        <f t="shared" si="29"/>
        <v>362.78000000000009</v>
      </c>
      <c r="N926" t="str">
        <v>Low</v>
      </c>
      <c r="O926" t="s">
        <v>63</v>
      </c>
    </row>
    <row r="927" spans="1:15" x14ac:dyDescent="0.3">
      <c r="A927" t="s">
        <v>965</v>
      </c>
      <c r="B927" s="1">
        <v>46218</v>
      </c>
      <c r="C927" t="s">
        <v>1124</v>
      </c>
      <c r="D927" t="s">
        <v>71</v>
      </c>
      <c r="E927" t="s">
        <v>1251</v>
      </c>
      <c r="F927" t="s">
        <v>1315</v>
      </c>
      <c r="G927" t="s">
        <v>60</v>
      </c>
      <c r="H927" t="s">
        <v>54</v>
      </c>
      <c r="I927">
        <v>6</v>
      </c>
      <c r="J927" s="24">
        <v>231.6</v>
      </c>
      <c r="K927" s="24">
        <f t="shared" si="28"/>
        <v>1389.6</v>
      </c>
      <c r="L927" s="24">
        <v>1530.74</v>
      </c>
      <c r="M927" s="2">
        <f t="shared" si="29"/>
        <v>141.1400000000001</v>
      </c>
      <c r="N927" t="str">
        <v>Low</v>
      </c>
      <c r="O927" t="s">
        <v>63</v>
      </c>
    </row>
    <row r="928" spans="1:15" x14ac:dyDescent="0.3">
      <c r="A928" t="s">
        <v>966</v>
      </c>
      <c r="B928" s="1">
        <v>46219</v>
      </c>
      <c r="C928" t="s">
        <v>1177</v>
      </c>
      <c r="D928" t="s">
        <v>74</v>
      </c>
      <c r="E928" t="s">
        <v>1244</v>
      </c>
      <c r="F928" t="s">
        <v>58</v>
      </c>
      <c r="G928" t="s">
        <v>60</v>
      </c>
      <c r="H928" t="s">
        <v>51</v>
      </c>
      <c r="I928">
        <v>9</v>
      </c>
      <c r="J928" s="24">
        <v>161.44999999999999</v>
      </c>
      <c r="K928" s="24">
        <f t="shared" si="28"/>
        <v>1453.05</v>
      </c>
      <c r="L928" s="24">
        <v>1835.75</v>
      </c>
      <c r="M928" s="2">
        <f t="shared" si="29"/>
        <v>382.70000000000005</v>
      </c>
      <c r="N928" t="str">
        <v>Low</v>
      </c>
      <c r="O928" t="s">
        <v>64</v>
      </c>
    </row>
    <row r="929" spans="1:15" x14ac:dyDescent="0.3">
      <c r="A929" t="s">
        <v>967</v>
      </c>
      <c r="B929" s="1">
        <v>46220</v>
      </c>
      <c r="C929" t="s">
        <v>1167</v>
      </c>
      <c r="D929" t="s">
        <v>72</v>
      </c>
      <c r="E929" t="s">
        <v>1253</v>
      </c>
      <c r="F929" t="s">
        <v>1298</v>
      </c>
      <c r="G929" t="s">
        <v>60</v>
      </c>
      <c r="H929" t="s">
        <v>54</v>
      </c>
      <c r="I929">
        <v>3</v>
      </c>
      <c r="J929" s="24">
        <v>277.44</v>
      </c>
      <c r="K929" s="24">
        <f t="shared" si="28"/>
        <v>832.31999999999994</v>
      </c>
      <c r="L929" s="24">
        <v>1185.04</v>
      </c>
      <c r="M929" s="2">
        <f t="shared" si="29"/>
        <v>352.72</v>
      </c>
      <c r="N929" t="str">
        <v>Low</v>
      </c>
      <c r="O929" t="s">
        <v>63</v>
      </c>
    </row>
    <row r="930" spans="1:15" x14ac:dyDescent="0.3">
      <c r="A930" t="s">
        <v>968</v>
      </c>
      <c r="B930" s="1">
        <v>46221</v>
      </c>
      <c r="C930" t="s">
        <v>1112</v>
      </c>
      <c r="D930" t="s">
        <v>72</v>
      </c>
      <c r="E930" t="s">
        <v>1246</v>
      </c>
      <c r="F930" t="s">
        <v>1293</v>
      </c>
      <c r="G930" t="s">
        <v>60</v>
      </c>
      <c r="H930" t="s">
        <v>52</v>
      </c>
      <c r="I930">
        <v>10</v>
      </c>
      <c r="J930" s="24">
        <v>434.37</v>
      </c>
      <c r="K930" s="24">
        <f t="shared" si="28"/>
        <v>4343.7</v>
      </c>
      <c r="L930" s="24">
        <v>5137.76</v>
      </c>
      <c r="M930" s="2">
        <f t="shared" si="29"/>
        <v>794.0600000000004</v>
      </c>
      <c r="N930" t="str">
        <v>High</v>
      </c>
      <c r="O930" t="s">
        <v>63</v>
      </c>
    </row>
    <row r="931" spans="1:15" x14ac:dyDescent="0.3">
      <c r="A931" t="s">
        <v>969</v>
      </c>
      <c r="B931" s="1">
        <v>46222</v>
      </c>
      <c r="C931" t="s">
        <v>1147</v>
      </c>
      <c r="D931" t="s">
        <v>72</v>
      </c>
      <c r="E931" t="s">
        <v>1245</v>
      </c>
      <c r="F931" t="s">
        <v>1265</v>
      </c>
      <c r="G931" t="s">
        <v>60</v>
      </c>
      <c r="H931" t="s">
        <v>51</v>
      </c>
      <c r="I931">
        <v>7</v>
      </c>
      <c r="J931" s="24">
        <v>219.8</v>
      </c>
      <c r="K931" s="24">
        <f t="shared" si="28"/>
        <v>1538.6000000000001</v>
      </c>
      <c r="L931" s="24">
        <v>2131.1</v>
      </c>
      <c r="M931" s="2">
        <f t="shared" si="29"/>
        <v>592.49999999999977</v>
      </c>
      <c r="N931" t="str">
        <v>High</v>
      </c>
      <c r="O931" t="s">
        <v>63</v>
      </c>
    </row>
    <row r="932" spans="1:15" x14ac:dyDescent="0.3">
      <c r="A932" t="s">
        <v>970</v>
      </c>
      <c r="B932" s="1">
        <v>46223</v>
      </c>
      <c r="C932" t="s">
        <v>1062</v>
      </c>
      <c r="D932" t="s">
        <v>73</v>
      </c>
      <c r="E932" t="s">
        <v>1250</v>
      </c>
      <c r="F932" t="s">
        <v>1319</v>
      </c>
      <c r="G932" t="s">
        <v>60</v>
      </c>
      <c r="H932" t="s">
        <v>54</v>
      </c>
      <c r="I932">
        <v>10</v>
      </c>
      <c r="J932" s="24">
        <v>157.37</v>
      </c>
      <c r="K932" s="24">
        <f t="shared" si="28"/>
        <v>1573.7</v>
      </c>
      <c r="L932" s="24">
        <v>2034.74</v>
      </c>
      <c r="M932" s="2">
        <f t="shared" si="29"/>
        <v>461.03999999999996</v>
      </c>
      <c r="N932" t="str">
        <v>High</v>
      </c>
      <c r="O932" t="s">
        <v>65</v>
      </c>
    </row>
    <row r="933" spans="1:15" x14ac:dyDescent="0.3">
      <c r="A933" t="s">
        <v>971</v>
      </c>
      <c r="B933" s="1">
        <v>46224</v>
      </c>
      <c r="C933" t="s">
        <v>1137</v>
      </c>
      <c r="D933" t="s">
        <v>73</v>
      </c>
      <c r="E933" t="s">
        <v>1252</v>
      </c>
      <c r="F933" t="s">
        <v>1289</v>
      </c>
      <c r="G933" t="s">
        <v>60</v>
      </c>
      <c r="H933" t="s">
        <v>53</v>
      </c>
      <c r="I933">
        <v>3</v>
      </c>
      <c r="J933" s="24">
        <v>309</v>
      </c>
      <c r="K933" s="24">
        <f t="shared" si="28"/>
        <v>927</v>
      </c>
      <c r="L933" s="24">
        <v>1375.55</v>
      </c>
      <c r="M933" s="2">
        <f t="shared" si="29"/>
        <v>448.54999999999995</v>
      </c>
      <c r="N933" t="str">
        <v>Low</v>
      </c>
      <c r="O933" t="s">
        <v>63</v>
      </c>
    </row>
    <row r="934" spans="1:15" x14ac:dyDescent="0.3">
      <c r="A934" t="s">
        <v>972</v>
      </c>
      <c r="B934" s="1">
        <v>46225</v>
      </c>
      <c r="C934" t="s">
        <v>1130</v>
      </c>
      <c r="D934" t="s">
        <v>71</v>
      </c>
      <c r="E934" t="s">
        <v>1254</v>
      </c>
      <c r="F934" t="s">
        <v>1304</v>
      </c>
      <c r="G934" t="s">
        <v>60</v>
      </c>
      <c r="H934" t="s">
        <v>51</v>
      </c>
      <c r="I934">
        <v>7</v>
      </c>
      <c r="J934" s="24">
        <v>203.35</v>
      </c>
      <c r="K934" s="24">
        <f t="shared" si="28"/>
        <v>1423.45</v>
      </c>
      <c r="L934" s="24">
        <v>1726.54</v>
      </c>
      <c r="M934" s="2">
        <f t="shared" si="29"/>
        <v>303.08999999999992</v>
      </c>
      <c r="N934" t="str">
        <v>Low</v>
      </c>
      <c r="O934" t="s">
        <v>64</v>
      </c>
    </row>
    <row r="935" spans="1:15" x14ac:dyDescent="0.3">
      <c r="A935" t="s">
        <v>973</v>
      </c>
      <c r="B935" s="1">
        <v>46226</v>
      </c>
      <c r="C935" t="s">
        <v>1119</v>
      </c>
      <c r="D935" t="s">
        <v>71</v>
      </c>
      <c r="E935" t="s">
        <v>1254</v>
      </c>
      <c r="F935" t="s">
        <v>1322</v>
      </c>
      <c r="G935" t="s">
        <v>60</v>
      </c>
      <c r="H935" t="s">
        <v>53</v>
      </c>
      <c r="I935">
        <v>5</v>
      </c>
      <c r="J935" s="24">
        <v>363.13</v>
      </c>
      <c r="K935" s="24">
        <f t="shared" si="28"/>
        <v>1815.65</v>
      </c>
      <c r="L935" s="24">
        <v>2229.4699999999998</v>
      </c>
      <c r="M935" s="2">
        <f t="shared" si="29"/>
        <v>413.81999999999971</v>
      </c>
      <c r="N935" t="str">
        <v>High</v>
      </c>
      <c r="O935" t="s">
        <v>65</v>
      </c>
    </row>
    <row r="936" spans="1:15" x14ac:dyDescent="0.3">
      <c r="A936" t="s">
        <v>974</v>
      </c>
      <c r="B936" s="1">
        <v>46227</v>
      </c>
      <c r="C936" t="s">
        <v>1092</v>
      </c>
      <c r="D936" t="s">
        <v>74</v>
      </c>
      <c r="E936" t="s">
        <v>1244</v>
      </c>
      <c r="F936" t="s">
        <v>58</v>
      </c>
      <c r="G936" t="s">
        <v>60</v>
      </c>
      <c r="H936" t="s">
        <v>51</v>
      </c>
      <c r="I936">
        <v>10</v>
      </c>
      <c r="J936" s="24">
        <v>249.14</v>
      </c>
      <c r="K936" s="24">
        <f t="shared" si="28"/>
        <v>2491.3999999999996</v>
      </c>
      <c r="L936" s="24">
        <v>2765.69</v>
      </c>
      <c r="M936" s="2">
        <f t="shared" si="29"/>
        <v>274.29000000000042</v>
      </c>
      <c r="N936" t="str">
        <v>High</v>
      </c>
      <c r="O936" t="s">
        <v>63</v>
      </c>
    </row>
    <row r="937" spans="1:15" x14ac:dyDescent="0.3">
      <c r="A937" t="s">
        <v>975</v>
      </c>
      <c r="B937" s="1">
        <v>46228</v>
      </c>
      <c r="C937" t="s">
        <v>1172</v>
      </c>
      <c r="D937" t="s">
        <v>1255</v>
      </c>
      <c r="E937" t="s">
        <v>59</v>
      </c>
      <c r="F937" t="s">
        <v>1266</v>
      </c>
      <c r="G937" t="s">
        <v>60</v>
      </c>
      <c r="H937" t="s">
        <v>51</v>
      </c>
      <c r="I937">
        <v>6</v>
      </c>
      <c r="J937" s="24">
        <v>25.83</v>
      </c>
      <c r="K937" s="24">
        <f t="shared" si="28"/>
        <v>154.97999999999999</v>
      </c>
      <c r="L937" s="24">
        <v>196.7</v>
      </c>
      <c r="M937" s="2">
        <f t="shared" si="29"/>
        <v>41.72</v>
      </c>
      <c r="N937" t="str">
        <v>Low</v>
      </c>
      <c r="O937" t="s">
        <v>63</v>
      </c>
    </row>
    <row r="938" spans="1:15" x14ac:dyDescent="0.3">
      <c r="A938" t="s">
        <v>976</v>
      </c>
      <c r="B938" s="1">
        <v>46229</v>
      </c>
      <c r="C938" t="s">
        <v>1239</v>
      </c>
      <c r="D938" t="s">
        <v>71</v>
      </c>
      <c r="E938" t="s">
        <v>1241</v>
      </c>
      <c r="F938" t="s">
        <v>1299</v>
      </c>
      <c r="G938" t="s">
        <v>60</v>
      </c>
      <c r="H938" t="s">
        <v>54</v>
      </c>
      <c r="I938">
        <v>4</v>
      </c>
      <c r="J938" s="24">
        <v>315.52</v>
      </c>
      <c r="K938" s="24">
        <f t="shared" si="28"/>
        <v>1262.08</v>
      </c>
      <c r="L938" s="24">
        <v>1613.19</v>
      </c>
      <c r="M938" s="2">
        <f t="shared" si="29"/>
        <v>351.11000000000013</v>
      </c>
      <c r="N938" t="str">
        <v>Low</v>
      </c>
      <c r="O938" t="s">
        <v>63</v>
      </c>
    </row>
    <row r="939" spans="1:15" x14ac:dyDescent="0.3">
      <c r="A939" t="s">
        <v>977</v>
      </c>
      <c r="B939" s="1">
        <v>46230</v>
      </c>
      <c r="C939" t="s">
        <v>1120</v>
      </c>
      <c r="D939" t="s">
        <v>72</v>
      </c>
      <c r="E939" t="s">
        <v>1253</v>
      </c>
      <c r="F939" t="s">
        <v>1281</v>
      </c>
      <c r="G939" t="s">
        <v>60</v>
      </c>
      <c r="H939" t="s">
        <v>53</v>
      </c>
      <c r="I939">
        <v>6</v>
      </c>
      <c r="J939" s="24">
        <v>237.98</v>
      </c>
      <c r="K939" s="24">
        <f t="shared" si="28"/>
        <v>1427.8799999999999</v>
      </c>
      <c r="L939" s="24">
        <v>1825.06</v>
      </c>
      <c r="M939" s="2">
        <f t="shared" si="29"/>
        <v>397.18000000000006</v>
      </c>
      <c r="N939" t="str">
        <v>Low</v>
      </c>
      <c r="O939" t="s">
        <v>63</v>
      </c>
    </row>
    <row r="940" spans="1:15" x14ac:dyDescent="0.3">
      <c r="A940" t="s">
        <v>978</v>
      </c>
      <c r="B940" s="1">
        <v>46231</v>
      </c>
      <c r="C940" t="s">
        <v>1124</v>
      </c>
      <c r="D940" t="s">
        <v>73</v>
      </c>
      <c r="E940" t="s">
        <v>1252</v>
      </c>
      <c r="F940" t="s">
        <v>1311</v>
      </c>
      <c r="G940" t="s">
        <v>60</v>
      </c>
      <c r="H940" t="s">
        <v>54</v>
      </c>
      <c r="I940">
        <v>6</v>
      </c>
      <c r="J940" s="24">
        <v>66.37</v>
      </c>
      <c r="K940" s="24">
        <f t="shared" si="28"/>
        <v>398.22</v>
      </c>
      <c r="L940" s="24">
        <v>570.32000000000005</v>
      </c>
      <c r="M940" s="2">
        <f t="shared" si="29"/>
        <v>172.10000000000002</v>
      </c>
      <c r="N940" t="str">
        <v>Low</v>
      </c>
      <c r="O940" t="s">
        <v>64</v>
      </c>
    </row>
    <row r="941" spans="1:15" x14ac:dyDescent="0.3">
      <c r="A941" t="s">
        <v>979</v>
      </c>
      <c r="B941" s="1">
        <v>46232</v>
      </c>
      <c r="C941" t="s">
        <v>1132</v>
      </c>
      <c r="D941" t="s">
        <v>73</v>
      </c>
      <c r="E941" t="s">
        <v>1252</v>
      </c>
      <c r="F941" t="s">
        <v>1317</v>
      </c>
      <c r="G941" t="s">
        <v>60</v>
      </c>
      <c r="H941" t="s">
        <v>54</v>
      </c>
      <c r="I941">
        <v>8</v>
      </c>
      <c r="J941" s="24">
        <v>293.49</v>
      </c>
      <c r="K941" s="24">
        <f t="shared" si="28"/>
        <v>2347.92</v>
      </c>
      <c r="L941" s="24">
        <v>2892.12</v>
      </c>
      <c r="M941" s="2">
        <f t="shared" si="29"/>
        <v>544.19999999999982</v>
      </c>
      <c r="N941" t="str">
        <v>High</v>
      </c>
      <c r="O941" t="s">
        <v>64</v>
      </c>
    </row>
    <row r="942" spans="1:15" x14ac:dyDescent="0.3">
      <c r="A942" t="s">
        <v>980</v>
      </c>
      <c r="B942" s="1">
        <v>46233</v>
      </c>
      <c r="C942" t="s">
        <v>1101</v>
      </c>
      <c r="D942" t="s">
        <v>72</v>
      </c>
      <c r="E942" t="s">
        <v>1245</v>
      </c>
      <c r="F942" t="s">
        <v>1305</v>
      </c>
      <c r="G942" t="s">
        <v>60</v>
      </c>
      <c r="H942" t="s">
        <v>54</v>
      </c>
      <c r="I942">
        <v>5</v>
      </c>
      <c r="J942" s="24">
        <v>322.64</v>
      </c>
      <c r="K942" s="24">
        <f t="shared" si="28"/>
        <v>1613.1999999999998</v>
      </c>
      <c r="L942" s="24">
        <v>2323.08</v>
      </c>
      <c r="M942" s="2">
        <f t="shared" si="29"/>
        <v>709.88000000000011</v>
      </c>
      <c r="N942" t="str">
        <v>High</v>
      </c>
      <c r="O942" t="s">
        <v>63</v>
      </c>
    </row>
    <row r="943" spans="1:15" x14ac:dyDescent="0.3">
      <c r="A943" t="s">
        <v>981</v>
      </c>
      <c r="B943" s="1">
        <v>46234</v>
      </c>
      <c r="C943" t="s">
        <v>1214</v>
      </c>
      <c r="D943" t="s">
        <v>71</v>
      </c>
      <c r="E943" t="s">
        <v>1251</v>
      </c>
      <c r="F943" t="s">
        <v>1279</v>
      </c>
      <c r="G943" t="s">
        <v>60</v>
      </c>
      <c r="H943" t="s">
        <v>51</v>
      </c>
      <c r="I943">
        <v>6</v>
      </c>
      <c r="J943" s="24">
        <v>480.74</v>
      </c>
      <c r="K943" s="24">
        <f t="shared" si="28"/>
        <v>2884.44</v>
      </c>
      <c r="L943" s="24">
        <v>3480.04</v>
      </c>
      <c r="M943" s="2">
        <f t="shared" si="29"/>
        <v>595.59999999999991</v>
      </c>
      <c r="N943" t="str">
        <v>High</v>
      </c>
      <c r="O943" t="s">
        <v>65</v>
      </c>
    </row>
    <row r="944" spans="1:15" x14ac:dyDescent="0.3">
      <c r="A944" t="s">
        <v>982</v>
      </c>
      <c r="B944" s="1">
        <v>46235</v>
      </c>
      <c r="C944" t="s">
        <v>1217</v>
      </c>
      <c r="D944" t="s">
        <v>72</v>
      </c>
      <c r="E944" t="s">
        <v>1253</v>
      </c>
      <c r="F944" t="s">
        <v>1298</v>
      </c>
      <c r="G944" t="s">
        <v>60</v>
      </c>
      <c r="H944" t="s">
        <v>52</v>
      </c>
      <c r="I944">
        <v>4</v>
      </c>
      <c r="J944" s="24">
        <v>113.27</v>
      </c>
      <c r="K944" s="24">
        <f t="shared" si="28"/>
        <v>453.08</v>
      </c>
      <c r="L944" s="24">
        <v>570.07000000000005</v>
      </c>
      <c r="M944" s="2">
        <f t="shared" si="29"/>
        <v>116.99000000000007</v>
      </c>
      <c r="N944" t="str">
        <v>Low</v>
      </c>
      <c r="O944" t="s">
        <v>63</v>
      </c>
    </row>
    <row r="945" spans="1:15" x14ac:dyDescent="0.3">
      <c r="A945" t="s">
        <v>983</v>
      </c>
      <c r="B945" s="1">
        <v>46236</v>
      </c>
      <c r="C945" t="s">
        <v>1210</v>
      </c>
      <c r="D945" t="s">
        <v>72</v>
      </c>
      <c r="E945" t="s">
        <v>1246</v>
      </c>
      <c r="F945" t="s">
        <v>1267</v>
      </c>
      <c r="G945" t="s">
        <v>60</v>
      </c>
      <c r="H945" t="s">
        <v>52</v>
      </c>
      <c r="I945">
        <v>1</v>
      </c>
      <c r="J945" s="24">
        <v>192.32</v>
      </c>
      <c r="K945" s="24">
        <f t="shared" si="28"/>
        <v>192.32</v>
      </c>
      <c r="L945" s="24">
        <v>216.57</v>
      </c>
      <c r="M945" s="2">
        <f t="shared" si="29"/>
        <v>24.25</v>
      </c>
      <c r="N945" t="str">
        <v>Low</v>
      </c>
      <c r="O945" t="s">
        <v>64</v>
      </c>
    </row>
    <row r="946" spans="1:15" x14ac:dyDescent="0.3">
      <c r="A946" t="s">
        <v>984</v>
      </c>
      <c r="B946" s="1">
        <v>46237</v>
      </c>
      <c r="C946" t="s">
        <v>1150</v>
      </c>
      <c r="D946" t="s">
        <v>71</v>
      </c>
      <c r="E946" t="s">
        <v>1241</v>
      </c>
      <c r="F946" t="s">
        <v>1287</v>
      </c>
      <c r="G946" t="s">
        <v>60</v>
      </c>
      <c r="H946" t="s">
        <v>53</v>
      </c>
      <c r="I946">
        <v>2</v>
      </c>
      <c r="J946" s="24">
        <v>379.81</v>
      </c>
      <c r="K946" s="24">
        <f t="shared" si="28"/>
        <v>759.62</v>
      </c>
      <c r="L946" s="24">
        <v>1041.54</v>
      </c>
      <c r="M946" s="2">
        <f t="shared" si="29"/>
        <v>281.91999999999996</v>
      </c>
      <c r="N946" t="str">
        <v>Low</v>
      </c>
      <c r="O946" t="s">
        <v>65</v>
      </c>
    </row>
    <row r="947" spans="1:15" x14ac:dyDescent="0.3">
      <c r="A947" t="s">
        <v>985</v>
      </c>
      <c r="B947" s="1">
        <v>46238</v>
      </c>
      <c r="C947" t="s">
        <v>1046</v>
      </c>
      <c r="D947" t="s">
        <v>71</v>
      </c>
      <c r="E947" t="s">
        <v>1240</v>
      </c>
      <c r="F947" t="s">
        <v>1333</v>
      </c>
      <c r="G947" t="s">
        <v>60</v>
      </c>
      <c r="H947" t="s">
        <v>52</v>
      </c>
      <c r="I947">
        <v>8</v>
      </c>
      <c r="J947" s="24">
        <v>269.93</v>
      </c>
      <c r="K947" s="24">
        <f t="shared" si="28"/>
        <v>2159.44</v>
      </c>
      <c r="L947" s="24">
        <v>2834.17</v>
      </c>
      <c r="M947" s="2">
        <f t="shared" si="29"/>
        <v>674.73</v>
      </c>
      <c r="N947" t="str">
        <v>High</v>
      </c>
      <c r="O947" t="s">
        <v>63</v>
      </c>
    </row>
    <row r="948" spans="1:15" x14ac:dyDescent="0.3">
      <c r="A948" t="s">
        <v>986</v>
      </c>
      <c r="B948" s="1">
        <v>46239</v>
      </c>
      <c r="C948" t="s">
        <v>1041</v>
      </c>
      <c r="D948" t="s">
        <v>71</v>
      </c>
      <c r="E948" t="s">
        <v>1240</v>
      </c>
      <c r="F948" t="s">
        <v>1275</v>
      </c>
      <c r="G948" t="s">
        <v>60</v>
      </c>
      <c r="H948" t="s">
        <v>53</v>
      </c>
      <c r="I948">
        <v>5</v>
      </c>
      <c r="J948" s="24">
        <v>269.55</v>
      </c>
      <c r="K948" s="24">
        <f t="shared" si="28"/>
        <v>1347.75</v>
      </c>
      <c r="L948" s="24">
        <v>1497.75</v>
      </c>
      <c r="M948" s="2">
        <f t="shared" si="29"/>
        <v>150</v>
      </c>
      <c r="N948" t="str">
        <v>Low</v>
      </c>
      <c r="O948" t="s">
        <v>64</v>
      </c>
    </row>
    <row r="949" spans="1:15" x14ac:dyDescent="0.3">
      <c r="A949" t="s">
        <v>987</v>
      </c>
      <c r="B949" s="1">
        <v>46240</v>
      </c>
      <c r="C949" t="s">
        <v>1208</v>
      </c>
      <c r="D949" t="s">
        <v>73</v>
      </c>
      <c r="E949" t="s">
        <v>1250</v>
      </c>
      <c r="F949" t="s">
        <v>1302</v>
      </c>
      <c r="G949" t="s">
        <v>60</v>
      </c>
      <c r="H949" t="s">
        <v>51</v>
      </c>
      <c r="I949">
        <v>6</v>
      </c>
      <c r="J949" s="24">
        <v>79.56</v>
      </c>
      <c r="K949" s="24">
        <f t="shared" si="28"/>
        <v>477.36</v>
      </c>
      <c r="L949" s="24">
        <v>549.11</v>
      </c>
      <c r="M949" s="2">
        <f t="shared" si="29"/>
        <v>71.75</v>
      </c>
      <c r="N949" t="str">
        <v>Low</v>
      </c>
      <c r="O949" t="s">
        <v>64</v>
      </c>
    </row>
    <row r="950" spans="1:15" x14ac:dyDescent="0.3">
      <c r="A950" t="s">
        <v>988</v>
      </c>
      <c r="B950" s="1">
        <v>46241</v>
      </c>
      <c r="C950" t="s">
        <v>1092</v>
      </c>
      <c r="D950" t="s">
        <v>73</v>
      </c>
      <c r="E950" t="s">
        <v>1250</v>
      </c>
      <c r="F950" t="s">
        <v>1284</v>
      </c>
      <c r="G950" t="s">
        <v>60</v>
      </c>
      <c r="H950" t="s">
        <v>52</v>
      </c>
      <c r="I950">
        <v>2</v>
      </c>
      <c r="J950" s="24">
        <v>305.88</v>
      </c>
      <c r="K950" s="24">
        <f t="shared" si="28"/>
        <v>611.76</v>
      </c>
      <c r="L950" s="24">
        <v>815.49</v>
      </c>
      <c r="M950" s="2">
        <f t="shared" si="29"/>
        <v>203.73000000000002</v>
      </c>
      <c r="N950" t="str">
        <v>Low</v>
      </c>
      <c r="O950" t="s">
        <v>63</v>
      </c>
    </row>
    <row r="951" spans="1:15" x14ac:dyDescent="0.3">
      <c r="A951" t="s">
        <v>989</v>
      </c>
      <c r="B951" s="1">
        <v>46242</v>
      </c>
      <c r="C951" t="s">
        <v>1236</v>
      </c>
      <c r="D951" t="s">
        <v>72</v>
      </c>
      <c r="E951" t="s">
        <v>1245</v>
      </c>
      <c r="F951" t="s">
        <v>1265</v>
      </c>
      <c r="G951" t="s">
        <v>60</v>
      </c>
      <c r="H951" t="s">
        <v>54</v>
      </c>
      <c r="I951">
        <v>4</v>
      </c>
      <c r="J951" s="24">
        <v>428.75</v>
      </c>
      <c r="K951" s="24">
        <f t="shared" si="28"/>
        <v>1715</v>
      </c>
      <c r="L951" s="24">
        <v>2067.86</v>
      </c>
      <c r="M951" s="2">
        <f t="shared" si="29"/>
        <v>352.86000000000013</v>
      </c>
      <c r="N951" t="str">
        <v>High</v>
      </c>
      <c r="O951" t="s">
        <v>64</v>
      </c>
    </row>
    <row r="952" spans="1:15" x14ac:dyDescent="0.3">
      <c r="A952" t="s">
        <v>990</v>
      </c>
      <c r="B952" s="1">
        <v>46243</v>
      </c>
      <c r="C952" t="s">
        <v>1078</v>
      </c>
      <c r="D952" t="s">
        <v>72</v>
      </c>
      <c r="E952" t="s">
        <v>1253</v>
      </c>
      <c r="F952" t="s">
        <v>1298</v>
      </c>
      <c r="G952" t="s">
        <v>60</v>
      </c>
      <c r="H952" t="s">
        <v>51</v>
      </c>
      <c r="I952">
        <v>2</v>
      </c>
      <c r="J952" s="24">
        <v>209.35</v>
      </c>
      <c r="K952" s="24">
        <f t="shared" si="28"/>
        <v>418.7</v>
      </c>
      <c r="L952" s="24">
        <v>534.70000000000005</v>
      </c>
      <c r="M952" s="2">
        <f t="shared" si="29"/>
        <v>116.00000000000006</v>
      </c>
      <c r="N952" t="str">
        <v>Low</v>
      </c>
      <c r="O952" t="s">
        <v>64</v>
      </c>
    </row>
    <row r="953" spans="1:15" x14ac:dyDescent="0.3">
      <c r="A953" t="s">
        <v>991</v>
      </c>
      <c r="B953" s="1">
        <v>46244</v>
      </c>
      <c r="C953" t="s">
        <v>1228</v>
      </c>
      <c r="D953" t="s">
        <v>73</v>
      </c>
      <c r="E953" t="s">
        <v>1252</v>
      </c>
      <c r="F953" t="s">
        <v>1297</v>
      </c>
      <c r="G953" t="s">
        <v>60</v>
      </c>
      <c r="H953" t="s">
        <v>51</v>
      </c>
      <c r="I953">
        <v>8</v>
      </c>
      <c r="J953" s="24">
        <v>222.06</v>
      </c>
      <c r="K953" s="24">
        <f t="shared" si="28"/>
        <v>1776.48</v>
      </c>
      <c r="L953" s="24">
        <v>2022.29</v>
      </c>
      <c r="M953" s="2">
        <f t="shared" si="29"/>
        <v>245.80999999999995</v>
      </c>
      <c r="N953" t="str">
        <v>High</v>
      </c>
      <c r="O953" t="s">
        <v>65</v>
      </c>
    </row>
    <row r="954" spans="1:15" x14ac:dyDescent="0.3">
      <c r="A954" t="s">
        <v>992</v>
      </c>
      <c r="B954" s="1">
        <v>46245</v>
      </c>
      <c r="C954" t="s">
        <v>1208</v>
      </c>
      <c r="D954" t="s">
        <v>73</v>
      </c>
      <c r="E954" t="s">
        <v>1252</v>
      </c>
      <c r="F954" t="s">
        <v>1278</v>
      </c>
      <c r="G954" t="s">
        <v>60</v>
      </c>
      <c r="H954" t="s">
        <v>51</v>
      </c>
      <c r="I954">
        <v>6</v>
      </c>
      <c r="J954" s="24">
        <v>207.72</v>
      </c>
      <c r="K954" s="24">
        <f t="shared" si="28"/>
        <v>1246.32</v>
      </c>
      <c r="L954" s="24">
        <v>1829.87</v>
      </c>
      <c r="M954" s="2">
        <f t="shared" si="29"/>
        <v>583.54999999999995</v>
      </c>
      <c r="N954" t="str">
        <v>Low</v>
      </c>
      <c r="O954" t="s">
        <v>64</v>
      </c>
    </row>
    <row r="955" spans="1:15" x14ac:dyDescent="0.3">
      <c r="A955" t="s">
        <v>993</v>
      </c>
      <c r="B955" s="1">
        <v>46246</v>
      </c>
      <c r="C955" t="s">
        <v>1200</v>
      </c>
      <c r="D955" t="s">
        <v>71</v>
      </c>
      <c r="E955" t="s">
        <v>1248</v>
      </c>
      <c r="F955" t="s">
        <v>1301</v>
      </c>
      <c r="G955" t="s">
        <v>60</v>
      </c>
      <c r="H955" t="s">
        <v>53</v>
      </c>
      <c r="I955">
        <v>1</v>
      </c>
      <c r="J955" s="24">
        <v>448.64</v>
      </c>
      <c r="K955" s="24">
        <f t="shared" si="28"/>
        <v>448.64</v>
      </c>
      <c r="L955" s="24">
        <v>649</v>
      </c>
      <c r="M955" s="2">
        <f t="shared" si="29"/>
        <v>200.36</v>
      </c>
      <c r="N955" t="str">
        <v>Low</v>
      </c>
      <c r="O955" t="s">
        <v>64</v>
      </c>
    </row>
    <row r="956" spans="1:15" x14ac:dyDescent="0.3">
      <c r="A956" t="s">
        <v>994</v>
      </c>
      <c r="B956" s="1">
        <v>46247</v>
      </c>
      <c r="C956" t="s">
        <v>1111</v>
      </c>
      <c r="D956" t="s">
        <v>72</v>
      </c>
      <c r="E956" t="s">
        <v>1246</v>
      </c>
      <c r="F956" t="s">
        <v>1293</v>
      </c>
      <c r="G956" t="s">
        <v>60</v>
      </c>
      <c r="H956" t="s">
        <v>51</v>
      </c>
      <c r="I956">
        <v>9</v>
      </c>
      <c r="J956" s="24">
        <v>143.24</v>
      </c>
      <c r="K956" s="24">
        <f t="shared" si="28"/>
        <v>1289.1600000000001</v>
      </c>
      <c r="L956" s="24">
        <v>1713.29</v>
      </c>
      <c r="M956" s="2">
        <f t="shared" si="29"/>
        <v>424.12999999999988</v>
      </c>
      <c r="N956" t="str">
        <v>Low</v>
      </c>
      <c r="O956" t="s">
        <v>63</v>
      </c>
    </row>
    <row r="957" spans="1:15" x14ac:dyDescent="0.3">
      <c r="A957" t="s">
        <v>995</v>
      </c>
      <c r="B957" s="1">
        <v>46248</v>
      </c>
      <c r="C957" t="s">
        <v>1169</v>
      </c>
      <c r="D957" t="s">
        <v>74</v>
      </c>
      <c r="E957" t="s">
        <v>1249</v>
      </c>
      <c r="F957" t="s">
        <v>1321</v>
      </c>
      <c r="G957" t="s">
        <v>60</v>
      </c>
      <c r="H957" t="s">
        <v>51</v>
      </c>
      <c r="I957">
        <v>9</v>
      </c>
      <c r="J957" s="24">
        <v>162.15</v>
      </c>
      <c r="K957" s="24">
        <f t="shared" si="28"/>
        <v>1459.3500000000001</v>
      </c>
      <c r="L957" s="24">
        <v>1672.27</v>
      </c>
      <c r="M957" s="2">
        <f t="shared" si="29"/>
        <v>212.91999999999985</v>
      </c>
      <c r="N957" t="str">
        <v>Low</v>
      </c>
      <c r="O957" t="s">
        <v>63</v>
      </c>
    </row>
    <row r="958" spans="1:15" x14ac:dyDescent="0.3">
      <c r="A958" t="s">
        <v>996</v>
      </c>
      <c r="B958" s="1">
        <v>46249</v>
      </c>
      <c r="C958" t="s">
        <v>1045</v>
      </c>
      <c r="D958" t="s">
        <v>71</v>
      </c>
      <c r="E958" t="s">
        <v>1248</v>
      </c>
      <c r="F958" t="s">
        <v>1291</v>
      </c>
      <c r="G958" t="s">
        <v>60</v>
      </c>
      <c r="H958" t="s">
        <v>53</v>
      </c>
      <c r="I958">
        <v>9</v>
      </c>
      <c r="J958" s="24">
        <v>230.85</v>
      </c>
      <c r="K958" s="24">
        <f t="shared" si="28"/>
        <v>2077.65</v>
      </c>
      <c r="L958" s="24">
        <v>2852.35</v>
      </c>
      <c r="M958" s="2">
        <f t="shared" si="29"/>
        <v>774.69999999999982</v>
      </c>
      <c r="N958" t="str">
        <v>High</v>
      </c>
      <c r="O958" t="s">
        <v>63</v>
      </c>
    </row>
    <row r="959" spans="1:15" x14ac:dyDescent="0.3">
      <c r="A959" t="s">
        <v>997</v>
      </c>
      <c r="B959" s="1">
        <v>46250</v>
      </c>
      <c r="C959" t="s">
        <v>1153</v>
      </c>
      <c r="D959" t="s">
        <v>72</v>
      </c>
      <c r="E959" t="s">
        <v>1253</v>
      </c>
      <c r="F959" t="s">
        <v>1298</v>
      </c>
      <c r="G959" t="s">
        <v>60</v>
      </c>
      <c r="H959" t="s">
        <v>53</v>
      </c>
      <c r="I959">
        <v>2</v>
      </c>
      <c r="J959" s="24">
        <v>104.11</v>
      </c>
      <c r="K959" s="24">
        <f t="shared" si="28"/>
        <v>208.22</v>
      </c>
      <c r="L959" s="24">
        <v>254.47</v>
      </c>
      <c r="M959" s="2">
        <f t="shared" si="29"/>
        <v>46.25</v>
      </c>
      <c r="N959" t="str">
        <v>Low</v>
      </c>
      <c r="O959" t="s">
        <v>64</v>
      </c>
    </row>
    <row r="960" spans="1:15" x14ac:dyDescent="0.3">
      <c r="A960" t="s">
        <v>998</v>
      </c>
      <c r="B960" s="1">
        <v>46251</v>
      </c>
      <c r="C960" t="s">
        <v>1140</v>
      </c>
      <c r="D960" t="s">
        <v>71</v>
      </c>
      <c r="E960" t="s">
        <v>1251</v>
      </c>
      <c r="F960" t="s">
        <v>1276</v>
      </c>
      <c r="G960" t="s">
        <v>60</v>
      </c>
      <c r="H960" t="s">
        <v>53</v>
      </c>
      <c r="I960">
        <v>4</v>
      </c>
      <c r="J960" s="24">
        <v>102.68</v>
      </c>
      <c r="K960" s="24">
        <f t="shared" si="28"/>
        <v>410.72</v>
      </c>
      <c r="L960" s="24">
        <v>587.59</v>
      </c>
      <c r="M960" s="2">
        <f t="shared" si="29"/>
        <v>176.87</v>
      </c>
      <c r="N960" t="str">
        <v>Low</v>
      </c>
      <c r="O960" t="s">
        <v>64</v>
      </c>
    </row>
    <row r="961" spans="1:15" x14ac:dyDescent="0.3">
      <c r="A961" t="s">
        <v>999</v>
      </c>
      <c r="B961" s="1">
        <v>46252</v>
      </c>
      <c r="C961" t="s">
        <v>1088</v>
      </c>
      <c r="D961" t="s">
        <v>71</v>
      </c>
      <c r="E961" t="s">
        <v>1248</v>
      </c>
      <c r="F961" t="s">
        <v>1329</v>
      </c>
      <c r="G961" t="s">
        <v>60</v>
      </c>
      <c r="H961" t="s">
        <v>51</v>
      </c>
      <c r="I961">
        <v>2</v>
      </c>
      <c r="J961" s="24">
        <v>348.86</v>
      </c>
      <c r="K961" s="24">
        <f t="shared" si="28"/>
        <v>697.72</v>
      </c>
      <c r="L961" s="24">
        <v>896.55</v>
      </c>
      <c r="M961" s="2">
        <f t="shared" si="29"/>
        <v>198.82999999999993</v>
      </c>
      <c r="N961" t="str">
        <v>Low</v>
      </c>
      <c r="O961" t="s">
        <v>63</v>
      </c>
    </row>
    <row r="962" spans="1:15" x14ac:dyDescent="0.3">
      <c r="A962" t="s">
        <v>1000</v>
      </c>
      <c r="B962" s="1">
        <v>46253</v>
      </c>
      <c r="C962" t="s">
        <v>1065</v>
      </c>
      <c r="D962" t="s">
        <v>71</v>
      </c>
      <c r="E962" t="s">
        <v>1254</v>
      </c>
      <c r="F962" t="s">
        <v>1304</v>
      </c>
      <c r="G962" t="s">
        <v>60</v>
      </c>
      <c r="H962" t="s">
        <v>54</v>
      </c>
      <c r="I962">
        <v>8</v>
      </c>
      <c r="J962" s="24">
        <v>459.9</v>
      </c>
      <c r="K962" s="24">
        <f t="shared" si="28"/>
        <v>3679.2</v>
      </c>
      <c r="L962" s="24">
        <v>5024.6899999999996</v>
      </c>
      <c r="M962" s="2">
        <f t="shared" si="29"/>
        <v>1345.4899999999998</v>
      </c>
      <c r="N962" t="str">
        <v>High</v>
      </c>
      <c r="O962" t="s">
        <v>64</v>
      </c>
    </row>
    <row r="963" spans="1:15" x14ac:dyDescent="0.3">
      <c r="A963" t="s">
        <v>1001</v>
      </c>
      <c r="B963" s="1">
        <v>46254</v>
      </c>
      <c r="C963" t="s">
        <v>1044</v>
      </c>
      <c r="D963" t="s">
        <v>71</v>
      </c>
      <c r="E963" t="s">
        <v>1251</v>
      </c>
      <c r="F963" t="s">
        <v>1315</v>
      </c>
      <c r="G963" t="s">
        <v>60</v>
      </c>
      <c r="H963" t="s">
        <v>51</v>
      </c>
      <c r="I963">
        <v>7</v>
      </c>
      <c r="J963" s="24">
        <v>143.02000000000001</v>
      </c>
      <c r="K963" s="24">
        <f t="shared" ref="K963:K1001" si="30">J963*I963</f>
        <v>1001.1400000000001</v>
      </c>
      <c r="L963" s="24">
        <v>1162.32</v>
      </c>
      <c r="M963" s="2">
        <f t="shared" ref="M963:M1001" si="31">L963-K963</f>
        <v>161.17999999999984</v>
      </c>
      <c r="N963" t="str">
        <v>Low</v>
      </c>
      <c r="O963" t="s">
        <v>65</v>
      </c>
    </row>
    <row r="964" spans="1:15" x14ac:dyDescent="0.3">
      <c r="A964" t="s">
        <v>1002</v>
      </c>
      <c r="B964" s="1">
        <v>46255</v>
      </c>
      <c r="C964" t="s">
        <v>1067</v>
      </c>
      <c r="D964" t="s">
        <v>74</v>
      </c>
      <c r="E964" t="s">
        <v>1244</v>
      </c>
      <c r="F964" t="s">
        <v>1330</v>
      </c>
      <c r="G964" t="s">
        <v>60</v>
      </c>
      <c r="H964" t="s">
        <v>52</v>
      </c>
      <c r="I964">
        <v>7</v>
      </c>
      <c r="J964" s="24">
        <v>387.58</v>
      </c>
      <c r="K964" s="24">
        <f t="shared" si="30"/>
        <v>2713.06</v>
      </c>
      <c r="L964" s="24">
        <v>3630.47</v>
      </c>
      <c r="M964" s="2">
        <f t="shared" si="31"/>
        <v>917.40999999999985</v>
      </c>
      <c r="N964" t="str">
        <v>High</v>
      </c>
      <c r="O964" t="s">
        <v>64</v>
      </c>
    </row>
    <row r="965" spans="1:15" x14ac:dyDescent="0.3">
      <c r="A965" t="s">
        <v>1003</v>
      </c>
      <c r="B965" s="1">
        <v>46256</v>
      </c>
      <c r="C965" t="s">
        <v>1154</v>
      </c>
      <c r="D965" t="s">
        <v>71</v>
      </c>
      <c r="E965" t="s">
        <v>1248</v>
      </c>
      <c r="F965" t="s">
        <v>1271</v>
      </c>
      <c r="G965" t="s">
        <v>60</v>
      </c>
      <c r="H965" t="s">
        <v>51</v>
      </c>
      <c r="I965">
        <v>2</v>
      </c>
      <c r="J965" s="24">
        <v>239.76</v>
      </c>
      <c r="K965" s="24">
        <f t="shared" si="30"/>
        <v>479.52</v>
      </c>
      <c r="L965" s="24">
        <v>543.41</v>
      </c>
      <c r="M965" s="2">
        <f t="shared" si="31"/>
        <v>63.889999999999986</v>
      </c>
      <c r="N965" t="str">
        <v>Low</v>
      </c>
      <c r="O965" t="s">
        <v>64</v>
      </c>
    </row>
    <row r="966" spans="1:15" x14ac:dyDescent="0.3">
      <c r="A966" t="s">
        <v>1004</v>
      </c>
      <c r="B966" s="1">
        <v>46257</v>
      </c>
      <c r="C966" t="s">
        <v>1221</v>
      </c>
      <c r="D966" t="s">
        <v>1255</v>
      </c>
      <c r="E966" t="s">
        <v>59</v>
      </c>
      <c r="F966" t="s">
        <v>1295</v>
      </c>
      <c r="G966" t="s">
        <v>60</v>
      </c>
      <c r="H966" t="s">
        <v>51</v>
      </c>
      <c r="I966">
        <v>2</v>
      </c>
      <c r="J966" s="24">
        <v>130.04</v>
      </c>
      <c r="K966" s="24">
        <f t="shared" si="30"/>
        <v>260.08</v>
      </c>
      <c r="L966" s="24">
        <v>318.97000000000003</v>
      </c>
      <c r="M966" s="2">
        <f t="shared" si="31"/>
        <v>58.890000000000043</v>
      </c>
      <c r="N966" t="str">
        <v>Low</v>
      </c>
      <c r="O966" t="s">
        <v>64</v>
      </c>
    </row>
    <row r="967" spans="1:15" x14ac:dyDescent="0.3">
      <c r="A967" t="s">
        <v>1005</v>
      </c>
      <c r="B967" s="1">
        <v>46258</v>
      </c>
      <c r="C967" t="s">
        <v>1171</v>
      </c>
      <c r="D967" t="s">
        <v>71</v>
      </c>
      <c r="E967" t="s">
        <v>1251</v>
      </c>
      <c r="F967" t="s">
        <v>1279</v>
      </c>
      <c r="G967" t="s">
        <v>60</v>
      </c>
      <c r="H967" t="s">
        <v>54</v>
      </c>
      <c r="I967">
        <v>9</v>
      </c>
      <c r="J967" s="24">
        <v>253.57</v>
      </c>
      <c r="K967" s="24">
        <f t="shared" si="30"/>
        <v>2282.13</v>
      </c>
      <c r="L967" s="24">
        <v>3319.53</v>
      </c>
      <c r="M967" s="2">
        <f t="shared" si="31"/>
        <v>1037.4000000000001</v>
      </c>
      <c r="N967" t="str">
        <v>High</v>
      </c>
      <c r="O967" t="s">
        <v>64</v>
      </c>
    </row>
    <row r="968" spans="1:15" x14ac:dyDescent="0.3">
      <c r="A968" t="s">
        <v>1006</v>
      </c>
      <c r="B968" s="1">
        <v>46259</v>
      </c>
      <c r="C968" t="s">
        <v>1177</v>
      </c>
      <c r="D968" t="s">
        <v>71</v>
      </c>
      <c r="E968" t="s">
        <v>1254</v>
      </c>
      <c r="F968" t="s">
        <v>1322</v>
      </c>
      <c r="G968" t="s">
        <v>60</v>
      </c>
      <c r="H968" t="s">
        <v>53</v>
      </c>
      <c r="I968">
        <v>7</v>
      </c>
      <c r="J968" s="24">
        <v>156.33000000000001</v>
      </c>
      <c r="K968" s="24">
        <f t="shared" si="30"/>
        <v>1094.3100000000002</v>
      </c>
      <c r="L968" s="24">
        <v>1344.21</v>
      </c>
      <c r="M968" s="2">
        <f t="shared" si="31"/>
        <v>249.89999999999986</v>
      </c>
      <c r="N968" t="str">
        <v>Low</v>
      </c>
      <c r="O968" t="s">
        <v>63</v>
      </c>
    </row>
    <row r="969" spans="1:15" x14ac:dyDescent="0.3">
      <c r="A969" t="s">
        <v>1007</v>
      </c>
      <c r="B969" s="1">
        <v>46260</v>
      </c>
      <c r="C969" t="s">
        <v>1132</v>
      </c>
      <c r="D969" t="s">
        <v>72</v>
      </c>
      <c r="E969" t="s">
        <v>1242</v>
      </c>
      <c r="F969" t="s">
        <v>1280</v>
      </c>
      <c r="G969" t="s">
        <v>60</v>
      </c>
      <c r="H969" t="s">
        <v>53</v>
      </c>
      <c r="I969">
        <v>1</v>
      </c>
      <c r="J969" s="24">
        <v>164.18</v>
      </c>
      <c r="K969" s="24">
        <f t="shared" si="30"/>
        <v>164.18</v>
      </c>
      <c r="L969" s="24">
        <v>188.74</v>
      </c>
      <c r="M969" s="2">
        <f t="shared" si="31"/>
        <v>24.560000000000002</v>
      </c>
      <c r="N969" t="str">
        <v>Low</v>
      </c>
      <c r="O969" t="s">
        <v>65</v>
      </c>
    </row>
    <row r="970" spans="1:15" x14ac:dyDescent="0.3">
      <c r="A970" t="s">
        <v>1008</v>
      </c>
      <c r="B970" s="1">
        <v>46261</v>
      </c>
      <c r="C970" t="s">
        <v>1158</v>
      </c>
      <c r="D970" t="s">
        <v>71</v>
      </c>
      <c r="E970" t="s">
        <v>1254</v>
      </c>
      <c r="F970" t="s">
        <v>1307</v>
      </c>
      <c r="G970" t="s">
        <v>60</v>
      </c>
      <c r="H970" t="s">
        <v>51</v>
      </c>
      <c r="I970">
        <v>10</v>
      </c>
      <c r="J970" s="24">
        <v>240.68</v>
      </c>
      <c r="K970" s="24">
        <f t="shared" si="30"/>
        <v>2406.8000000000002</v>
      </c>
      <c r="L970" s="24">
        <v>2888.8</v>
      </c>
      <c r="M970" s="2">
        <f t="shared" si="31"/>
        <v>482</v>
      </c>
      <c r="N970" t="str">
        <v>High</v>
      </c>
      <c r="O970" t="s">
        <v>65</v>
      </c>
    </row>
    <row r="971" spans="1:15" x14ac:dyDescent="0.3">
      <c r="A971" t="s">
        <v>1009</v>
      </c>
      <c r="B971" s="1">
        <v>46262</v>
      </c>
      <c r="C971" t="s">
        <v>1142</v>
      </c>
      <c r="D971" t="s">
        <v>72</v>
      </c>
      <c r="E971" t="s">
        <v>1253</v>
      </c>
      <c r="F971" t="s">
        <v>1318</v>
      </c>
      <c r="G971" t="s">
        <v>60</v>
      </c>
      <c r="H971" t="s">
        <v>53</v>
      </c>
      <c r="I971">
        <v>1</v>
      </c>
      <c r="J971" s="24">
        <v>155.91</v>
      </c>
      <c r="K971" s="24">
        <f t="shared" si="30"/>
        <v>155.91</v>
      </c>
      <c r="L971" s="24">
        <v>194.62</v>
      </c>
      <c r="M971" s="2">
        <f t="shared" si="31"/>
        <v>38.710000000000008</v>
      </c>
      <c r="N971" t="str">
        <v>Low</v>
      </c>
      <c r="O971" t="s">
        <v>64</v>
      </c>
    </row>
    <row r="972" spans="1:15" x14ac:dyDescent="0.3">
      <c r="A972" t="s">
        <v>1010</v>
      </c>
      <c r="B972" s="1">
        <v>46263</v>
      </c>
      <c r="C972" t="s">
        <v>1218</v>
      </c>
      <c r="D972" t="s">
        <v>72</v>
      </c>
      <c r="E972" t="s">
        <v>1242</v>
      </c>
      <c r="F972" t="s">
        <v>1280</v>
      </c>
      <c r="G972" t="s">
        <v>60</v>
      </c>
      <c r="H972" t="s">
        <v>53</v>
      </c>
      <c r="I972">
        <v>2</v>
      </c>
      <c r="J972" s="24">
        <v>474.47</v>
      </c>
      <c r="K972" s="24">
        <f t="shared" si="30"/>
        <v>948.94</v>
      </c>
      <c r="L972" s="24">
        <v>1063.53</v>
      </c>
      <c r="M972" s="2">
        <f t="shared" si="31"/>
        <v>114.58999999999992</v>
      </c>
      <c r="N972" t="str">
        <v>Low</v>
      </c>
      <c r="O972" t="s">
        <v>64</v>
      </c>
    </row>
    <row r="973" spans="1:15" x14ac:dyDescent="0.3">
      <c r="A973" t="s">
        <v>1011</v>
      </c>
      <c r="B973" s="1">
        <v>46264</v>
      </c>
      <c r="C973" t="s">
        <v>1168</v>
      </c>
      <c r="D973" t="s">
        <v>71</v>
      </c>
      <c r="E973" t="s">
        <v>1240</v>
      </c>
      <c r="F973" t="s">
        <v>1333</v>
      </c>
      <c r="G973" t="s">
        <v>60</v>
      </c>
      <c r="H973" t="s">
        <v>52</v>
      </c>
      <c r="I973">
        <v>9</v>
      </c>
      <c r="J973" s="24">
        <v>298.13</v>
      </c>
      <c r="K973" s="24">
        <f t="shared" si="30"/>
        <v>2683.17</v>
      </c>
      <c r="L973" s="24">
        <v>3180.01</v>
      </c>
      <c r="M973" s="2">
        <f t="shared" si="31"/>
        <v>496.84000000000015</v>
      </c>
      <c r="N973" t="str">
        <v>High</v>
      </c>
      <c r="O973" t="s">
        <v>65</v>
      </c>
    </row>
    <row r="974" spans="1:15" x14ac:dyDescent="0.3">
      <c r="A974" t="s">
        <v>1012</v>
      </c>
      <c r="B974" s="1">
        <v>46265</v>
      </c>
      <c r="C974" t="s">
        <v>1155</v>
      </c>
      <c r="D974" t="s">
        <v>74</v>
      </c>
      <c r="E974" t="s">
        <v>1244</v>
      </c>
      <c r="F974" t="s">
        <v>1314</v>
      </c>
      <c r="G974" t="s">
        <v>60</v>
      </c>
      <c r="H974" t="s">
        <v>53</v>
      </c>
      <c r="I974">
        <v>2</v>
      </c>
      <c r="J974" s="24">
        <v>315.14</v>
      </c>
      <c r="K974" s="24">
        <f t="shared" si="30"/>
        <v>630.28</v>
      </c>
      <c r="L974" s="24">
        <v>913.3</v>
      </c>
      <c r="M974" s="2">
        <f t="shared" si="31"/>
        <v>283.02</v>
      </c>
      <c r="N974" t="str">
        <v>Low</v>
      </c>
      <c r="O974" t="s">
        <v>64</v>
      </c>
    </row>
    <row r="975" spans="1:15" x14ac:dyDescent="0.3">
      <c r="A975" t="s">
        <v>1013</v>
      </c>
      <c r="B975" s="1">
        <v>46266</v>
      </c>
      <c r="C975" t="s">
        <v>1216</v>
      </c>
      <c r="D975" t="s">
        <v>71</v>
      </c>
      <c r="E975" t="s">
        <v>1248</v>
      </c>
      <c r="F975" t="s">
        <v>1301</v>
      </c>
      <c r="G975" t="s">
        <v>60</v>
      </c>
      <c r="H975" t="s">
        <v>51</v>
      </c>
      <c r="I975">
        <v>9</v>
      </c>
      <c r="J975" s="24">
        <v>459.39</v>
      </c>
      <c r="K975" s="24">
        <f t="shared" si="30"/>
        <v>4134.51</v>
      </c>
      <c r="L975" s="24">
        <v>5475.24</v>
      </c>
      <c r="M975" s="2">
        <f t="shared" si="31"/>
        <v>1340.7299999999996</v>
      </c>
      <c r="N975" t="str">
        <v>High</v>
      </c>
      <c r="O975" t="s">
        <v>63</v>
      </c>
    </row>
    <row r="976" spans="1:15" x14ac:dyDescent="0.3">
      <c r="A976" t="s">
        <v>1014</v>
      </c>
      <c r="B976" s="1">
        <v>46267</v>
      </c>
      <c r="C976" t="s">
        <v>1050</v>
      </c>
      <c r="D976" t="s">
        <v>74</v>
      </c>
      <c r="E976" t="s">
        <v>1249</v>
      </c>
      <c r="F976" t="s">
        <v>1324</v>
      </c>
      <c r="G976" t="s">
        <v>60</v>
      </c>
      <c r="H976" t="s">
        <v>52</v>
      </c>
      <c r="I976">
        <v>9</v>
      </c>
      <c r="J976" s="24">
        <v>361.27</v>
      </c>
      <c r="K976" s="24">
        <f t="shared" si="30"/>
        <v>3251.43</v>
      </c>
      <c r="L976" s="24">
        <v>4092.06</v>
      </c>
      <c r="M976" s="2">
        <f t="shared" si="31"/>
        <v>840.63000000000011</v>
      </c>
      <c r="N976" t="str">
        <v>High</v>
      </c>
      <c r="O976" t="s">
        <v>63</v>
      </c>
    </row>
    <row r="977" spans="1:15" x14ac:dyDescent="0.3">
      <c r="A977" t="s">
        <v>1015</v>
      </c>
      <c r="B977" s="1">
        <v>46268</v>
      </c>
      <c r="C977" t="s">
        <v>1142</v>
      </c>
      <c r="D977" t="s">
        <v>72</v>
      </c>
      <c r="E977" t="s">
        <v>1245</v>
      </c>
      <c r="F977" t="s">
        <v>1328</v>
      </c>
      <c r="G977" t="s">
        <v>60</v>
      </c>
      <c r="H977" t="s">
        <v>54</v>
      </c>
      <c r="I977">
        <v>9</v>
      </c>
      <c r="J977" s="24">
        <v>222.06</v>
      </c>
      <c r="K977" s="24">
        <f t="shared" si="30"/>
        <v>1998.54</v>
      </c>
      <c r="L977" s="24">
        <v>2808.86</v>
      </c>
      <c r="M977" s="2">
        <f t="shared" si="31"/>
        <v>810.32000000000016</v>
      </c>
      <c r="N977" t="str">
        <v>High</v>
      </c>
      <c r="O977" t="s">
        <v>64</v>
      </c>
    </row>
    <row r="978" spans="1:15" x14ac:dyDescent="0.3">
      <c r="A978" t="s">
        <v>1016</v>
      </c>
      <c r="B978" s="1">
        <v>46269</v>
      </c>
      <c r="C978" t="s">
        <v>1138</v>
      </c>
      <c r="D978" t="s">
        <v>71</v>
      </c>
      <c r="E978" t="s">
        <v>1254</v>
      </c>
      <c r="F978" t="s">
        <v>1296</v>
      </c>
      <c r="G978" t="s">
        <v>60</v>
      </c>
      <c r="H978" t="s">
        <v>52</v>
      </c>
      <c r="I978">
        <v>6</v>
      </c>
      <c r="J978" s="24">
        <v>232.28</v>
      </c>
      <c r="K978" s="24">
        <f t="shared" si="30"/>
        <v>1393.68</v>
      </c>
      <c r="L978" s="24">
        <v>1917.09</v>
      </c>
      <c r="M978" s="2">
        <f t="shared" si="31"/>
        <v>523.40999999999985</v>
      </c>
      <c r="N978" t="str">
        <v>Low</v>
      </c>
      <c r="O978" t="s">
        <v>64</v>
      </c>
    </row>
    <row r="979" spans="1:15" x14ac:dyDescent="0.3">
      <c r="A979" t="s">
        <v>1017</v>
      </c>
      <c r="B979" s="1">
        <v>46270</v>
      </c>
      <c r="C979" t="s">
        <v>1044</v>
      </c>
      <c r="D979" t="s">
        <v>74</v>
      </c>
      <c r="E979" t="s">
        <v>1249</v>
      </c>
      <c r="F979" t="s">
        <v>1308</v>
      </c>
      <c r="G979" t="s">
        <v>60</v>
      </c>
      <c r="H979" t="s">
        <v>54</v>
      </c>
      <c r="I979">
        <v>1</v>
      </c>
      <c r="J979" s="24">
        <v>251.3</v>
      </c>
      <c r="K979" s="24">
        <f t="shared" si="30"/>
        <v>251.3</v>
      </c>
      <c r="L979" s="24">
        <v>334.9</v>
      </c>
      <c r="M979" s="2">
        <f t="shared" si="31"/>
        <v>83.599999999999966</v>
      </c>
      <c r="N979" t="str">
        <v>Low</v>
      </c>
      <c r="O979" t="s">
        <v>65</v>
      </c>
    </row>
    <row r="980" spans="1:15" x14ac:dyDescent="0.3">
      <c r="A980" t="s">
        <v>1018</v>
      </c>
      <c r="B980" s="1">
        <v>46271</v>
      </c>
      <c r="C980" t="s">
        <v>1044</v>
      </c>
      <c r="D980" t="s">
        <v>72</v>
      </c>
      <c r="E980" t="s">
        <v>1245</v>
      </c>
      <c r="F980" t="s">
        <v>1265</v>
      </c>
      <c r="G980" t="s">
        <v>60</v>
      </c>
      <c r="H980" t="s">
        <v>52</v>
      </c>
      <c r="I980">
        <v>3</v>
      </c>
      <c r="J980" s="24">
        <v>72.64</v>
      </c>
      <c r="K980" s="24">
        <f t="shared" si="30"/>
        <v>217.92000000000002</v>
      </c>
      <c r="L980" s="24">
        <v>286.45</v>
      </c>
      <c r="M980" s="2">
        <f t="shared" si="31"/>
        <v>68.529999999999973</v>
      </c>
      <c r="N980" t="str">
        <v>Low</v>
      </c>
      <c r="O980" t="s">
        <v>63</v>
      </c>
    </row>
    <row r="981" spans="1:15" x14ac:dyDescent="0.3">
      <c r="A981" t="s">
        <v>1019</v>
      </c>
      <c r="B981" s="1">
        <v>46272</v>
      </c>
      <c r="C981" t="s">
        <v>1105</v>
      </c>
      <c r="D981" t="s">
        <v>71</v>
      </c>
      <c r="E981" t="s">
        <v>1248</v>
      </c>
      <c r="F981" t="s">
        <v>1301</v>
      </c>
      <c r="G981" t="s">
        <v>60</v>
      </c>
      <c r="H981" t="s">
        <v>51</v>
      </c>
      <c r="I981">
        <v>5</v>
      </c>
      <c r="J981" s="24">
        <v>415.95</v>
      </c>
      <c r="K981" s="24">
        <f t="shared" si="30"/>
        <v>2079.75</v>
      </c>
      <c r="L981" s="24">
        <v>2763.09</v>
      </c>
      <c r="M981" s="2">
        <f t="shared" si="31"/>
        <v>683.34000000000015</v>
      </c>
      <c r="N981" t="str">
        <v>High</v>
      </c>
      <c r="O981" t="s">
        <v>64</v>
      </c>
    </row>
    <row r="982" spans="1:15" x14ac:dyDescent="0.3">
      <c r="A982" t="s">
        <v>1020</v>
      </c>
      <c r="B982" s="1">
        <v>46273</v>
      </c>
      <c r="C982" t="s">
        <v>1059</v>
      </c>
      <c r="D982" t="s">
        <v>72</v>
      </c>
      <c r="E982" t="s">
        <v>1253</v>
      </c>
      <c r="F982" t="s">
        <v>1281</v>
      </c>
      <c r="G982" t="s">
        <v>60</v>
      </c>
      <c r="H982" t="s">
        <v>52</v>
      </c>
      <c r="I982">
        <v>2</v>
      </c>
      <c r="J982" s="24">
        <v>489.58</v>
      </c>
      <c r="K982" s="24">
        <f t="shared" si="30"/>
        <v>979.16</v>
      </c>
      <c r="L982" s="24">
        <v>1439.29</v>
      </c>
      <c r="M982" s="2">
        <f t="shared" si="31"/>
        <v>460.13</v>
      </c>
      <c r="N982" t="str">
        <v>Low</v>
      </c>
      <c r="O982" t="s">
        <v>64</v>
      </c>
    </row>
    <row r="983" spans="1:15" x14ac:dyDescent="0.3">
      <c r="A983" t="s">
        <v>1021</v>
      </c>
      <c r="B983" s="1">
        <v>46274</v>
      </c>
      <c r="C983" t="s">
        <v>1176</v>
      </c>
      <c r="D983" t="s">
        <v>74</v>
      </c>
      <c r="E983" t="s">
        <v>1247</v>
      </c>
      <c r="F983" t="s">
        <v>1268</v>
      </c>
      <c r="G983" t="s">
        <v>60</v>
      </c>
      <c r="H983" t="s">
        <v>51</v>
      </c>
      <c r="I983">
        <v>9</v>
      </c>
      <c r="J983" s="24">
        <v>250.62</v>
      </c>
      <c r="K983" s="24">
        <f t="shared" si="30"/>
        <v>2255.58</v>
      </c>
      <c r="L983" s="24">
        <v>2971.27</v>
      </c>
      <c r="M983" s="2">
        <f t="shared" si="31"/>
        <v>715.69</v>
      </c>
      <c r="N983" t="str">
        <v>High</v>
      </c>
      <c r="O983" t="s">
        <v>63</v>
      </c>
    </row>
    <row r="984" spans="1:15" x14ac:dyDescent="0.3">
      <c r="A984" t="s">
        <v>1022</v>
      </c>
      <c r="B984" s="1">
        <v>46275</v>
      </c>
      <c r="C984" t="s">
        <v>1209</v>
      </c>
      <c r="D984" t="s">
        <v>71</v>
      </c>
      <c r="E984" t="s">
        <v>1248</v>
      </c>
      <c r="F984" t="s">
        <v>1329</v>
      </c>
      <c r="G984" t="s">
        <v>60</v>
      </c>
      <c r="H984" t="s">
        <v>54</v>
      </c>
      <c r="I984">
        <v>10</v>
      </c>
      <c r="J984" s="24">
        <v>69.7</v>
      </c>
      <c r="K984" s="24">
        <f t="shared" si="30"/>
        <v>697</v>
      </c>
      <c r="L984" s="24">
        <v>807.06</v>
      </c>
      <c r="M984" s="2">
        <f t="shared" si="31"/>
        <v>110.05999999999995</v>
      </c>
      <c r="N984" t="str">
        <v>Low</v>
      </c>
      <c r="O984" t="s">
        <v>63</v>
      </c>
    </row>
    <row r="985" spans="1:15" x14ac:dyDescent="0.3">
      <c r="A985" t="s">
        <v>1023</v>
      </c>
      <c r="B985" s="1">
        <v>46276</v>
      </c>
      <c r="C985" t="s">
        <v>1103</v>
      </c>
      <c r="D985" t="s">
        <v>73</v>
      </c>
      <c r="E985" t="s">
        <v>1250</v>
      </c>
      <c r="F985" t="s">
        <v>1302</v>
      </c>
      <c r="G985" t="s">
        <v>60</v>
      </c>
      <c r="H985" t="s">
        <v>53</v>
      </c>
      <c r="I985">
        <v>7</v>
      </c>
      <c r="J985" s="24">
        <v>55.97</v>
      </c>
      <c r="K985" s="24">
        <f t="shared" si="30"/>
        <v>391.78999999999996</v>
      </c>
      <c r="L985" s="24">
        <v>458.17</v>
      </c>
      <c r="M985" s="2">
        <f t="shared" si="31"/>
        <v>66.380000000000052</v>
      </c>
      <c r="N985" t="str">
        <v>Low</v>
      </c>
      <c r="O985" t="s">
        <v>64</v>
      </c>
    </row>
    <row r="986" spans="1:15" x14ac:dyDescent="0.3">
      <c r="A986" t="s">
        <v>1024</v>
      </c>
      <c r="B986" s="1">
        <v>46277</v>
      </c>
      <c r="C986" t="s">
        <v>1164</v>
      </c>
      <c r="D986" t="s">
        <v>71</v>
      </c>
      <c r="E986" t="s">
        <v>1254</v>
      </c>
      <c r="F986" t="s">
        <v>1307</v>
      </c>
      <c r="G986" t="s">
        <v>60</v>
      </c>
      <c r="H986" t="s">
        <v>53</v>
      </c>
      <c r="I986">
        <v>9</v>
      </c>
      <c r="J986" s="24">
        <v>62</v>
      </c>
      <c r="K986" s="24">
        <f t="shared" si="30"/>
        <v>558</v>
      </c>
      <c r="L986" s="24">
        <v>649.46</v>
      </c>
      <c r="M986" s="2">
        <f>L986-K986</f>
        <v>91.460000000000036</v>
      </c>
      <c r="N986" t="str">
        <v>Low</v>
      </c>
      <c r="O986" t="s">
        <v>65</v>
      </c>
    </row>
    <row r="987" spans="1:15" x14ac:dyDescent="0.3">
      <c r="A987" t="s">
        <v>1025</v>
      </c>
      <c r="B987" s="1">
        <v>46278</v>
      </c>
      <c r="C987" t="s">
        <v>1080</v>
      </c>
      <c r="D987" t="s">
        <v>72</v>
      </c>
      <c r="E987" t="s">
        <v>1242</v>
      </c>
      <c r="F987" t="s">
        <v>1288</v>
      </c>
      <c r="G987" t="s">
        <v>60</v>
      </c>
      <c r="H987" t="s">
        <v>52</v>
      </c>
      <c r="I987">
        <v>10</v>
      </c>
      <c r="J987" s="24">
        <v>116.6</v>
      </c>
      <c r="K987" s="24">
        <f t="shared" si="30"/>
        <v>1166</v>
      </c>
      <c r="L987" s="24">
        <v>1668.99</v>
      </c>
      <c r="M987" s="2">
        <f t="shared" si="31"/>
        <v>502.99</v>
      </c>
      <c r="N987" t="str">
        <v>Low</v>
      </c>
      <c r="O987" t="s">
        <v>63</v>
      </c>
    </row>
    <row r="988" spans="1:15" x14ac:dyDescent="0.3">
      <c r="A988" t="s">
        <v>1026</v>
      </c>
      <c r="B988" s="1">
        <v>46279</v>
      </c>
      <c r="C988" t="s">
        <v>1092</v>
      </c>
      <c r="D988" t="s">
        <v>71</v>
      </c>
      <c r="E988" t="s">
        <v>1251</v>
      </c>
      <c r="F988" t="s">
        <v>1320</v>
      </c>
      <c r="G988" t="s">
        <v>60</v>
      </c>
      <c r="H988" t="s">
        <v>51</v>
      </c>
      <c r="I988">
        <v>2</v>
      </c>
      <c r="J988" s="24">
        <v>83.78</v>
      </c>
      <c r="K988" s="24">
        <f t="shared" si="30"/>
        <v>167.56</v>
      </c>
      <c r="L988" s="24">
        <v>203.91</v>
      </c>
      <c r="M988" s="2">
        <f t="shared" si="31"/>
        <v>36.349999999999994</v>
      </c>
      <c r="N988" t="str">
        <v>Low</v>
      </c>
      <c r="O988" t="s">
        <v>64</v>
      </c>
    </row>
    <row r="989" spans="1:15" x14ac:dyDescent="0.3">
      <c r="A989" t="s">
        <v>1027</v>
      </c>
      <c r="B989" s="1">
        <v>46280</v>
      </c>
      <c r="C989" t="s">
        <v>1123</v>
      </c>
      <c r="D989" t="s">
        <v>71</v>
      </c>
      <c r="E989" t="s">
        <v>1251</v>
      </c>
      <c r="F989" t="s">
        <v>1326</v>
      </c>
      <c r="G989" t="s">
        <v>60</v>
      </c>
      <c r="H989" t="s">
        <v>52</v>
      </c>
      <c r="I989">
        <v>1</v>
      </c>
      <c r="J989" s="24">
        <v>472.31</v>
      </c>
      <c r="K989" s="24">
        <f t="shared" si="30"/>
        <v>472.31</v>
      </c>
      <c r="L989" s="24">
        <v>659.29</v>
      </c>
      <c r="M989" s="2">
        <f t="shared" si="31"/>
        <v>186.97999999999996</v>
      </c>
      <c r="N989" t="str">
        <v>Low</v>
      </c>
      <c r="O989" t="s">
        <v>65</v>
      </c>
    </row>
    <row r="990" spans="1:15" x14ac:dyDescent="0.3">
      <c r="A990" t="s">
        <v>1028</v>
      </c>
      <c r="B990" s="1">
        <v>46281</v>
      </c>
      <c r="C990" t="s">
        <v>1234</v>
      </c>
      <c r="D990" t="s">
        <v>72</v>
      </c>
      <c r="E990" t="s">
        <v>1245</v>
      </c>
      <c r="F990" t="s">
        <v>1328</v>
      </c>
      <c r="G990" t="s">
        <v>60</v>
      </c>
      <c r="H990" t="s">
        <v>53</v>
      </c>
      <c r="I990">
        <v>8</v>
      </c>
      <c r="J990" s="24">
        <v>473.04</v>
      </c>
      <c r="K990" s="24">
        <f t="shared" si="30"/>
        <v>3784.32</v>
      </c>
      <c r="L990" s="24">
        <v>4523.09</v>
      </c>
      <c r="M990" s="2">
        <f t="shared" si="31"/>
        <v>738.77</v>
      </c>
      <c r="N990" t="str">
        <v>High</v>
      </c>
      <c r="O990" t="s">
        <v>64</v>
      </c>
    </row>
    <row r="991" spans="1:15" x14ac:dyDescent="0.3">
      <c r="A991" t="s">
        <v>1029</v>
      </c>
      <c r="B991" s="1">
        <v>46282</v>
      </c>
      <c r="C991" t="s">
        <v>1059</v>
      </c>
      <c r="D991" t="s">
        <v>71</v>
      </c>
      <c r="E991" t="s">
        <v>1248</v>
      </c>
      <c r="F991" t="s">
        <v>1301</v>
      </c>
      <c r="G991" t="s">
        <v>60</v>
      </c>
      <c r="H991" t="s">
        <v>52</v>
      </c>
      <c r="I991">
        <v>2</v>
      </c>
      <c r="J991" s="24">
        <v>445.97</v>
      </c>
      <c r="K991" s="24">
        <f t="shared" si="30"/>
        <v>891.94</v>
      </c>
      <c r="L991" s="24">
        <v>1222.01</v>
      </c>
      <c r="M991" s="2">
        <f t="shared" si="31"/>
        <v>330.06999999999994</v>
      </c>
      <c r="N991" t="str">
        <v>Low</v>
      </c>
      <c r="O991" t="s">
        <v>64</v>
      </c>
    </row>
    <row r="992" spans="1:15" x14ac:dyDescent="0.3">
      <c r="A992" t="s">
        <v>1030</v>
      </c>
      <c r="B992" s="1">
        <v>46283</v>
      </c>
      <c r="C992" t="s">
        <v>1061</v>
      </c>
      <c r="D992" t="s">
        <v>73</v>
      </c>
      <c r="E992" t="s">
        <v>1250</v>
      </c>
      <c r="F992" t="s">
        <v>1274</v>
      </c>
      <c r="G992" t="s">
        <v>60</v>
      </c>
      <c r="H992" t="s">
        <v>53</v>
      </c>
      <c r="I992">
        <v>5</v>
      </c>
      <c r="J992" s="24">
        <v>210.37</v>
      </c>
      <c r="K992" s="24">
        <f t="shared" si="30"/>
        <v>1051.8499999999999</v>
      </c>
      <c r="L992" s="24">
        <v>1238.67</v>
      </c>
      <c r="M992" s="2">
        <f t="shared" si="31"/>
        <v>186.82000000000016</v>
      </c>
      <c r="N992" t="str">
        <v>Low</v>
      </c>
      <c r="O992" t="s">
        <v>65</v>
      </c>
    </row>
    <row r="993" spans="1:15" x14ac:dyDescent="0.3">
      <c r="A993" t="s">
        <v>1031</v>
      </c>
      <c r="B993" s="1">
        <v>46284</v>
      </c>
      <c r="C993" t="s">
        <v>1230</v>
      </c>
      <c r="D993" t="s">
        <v>71</v>
      </c>
      <c r="E993" t="s">
        <v>1241</v>
      </c>
      <c r="F993" t="s">
        <v>1299</v>
      </c>
      <c r="G993" t="s">
        <v>60</v>
      </c>
      <c r="H993" t="s">
        <v>54</v>
      </c>
      <c r="I993">
        <v>2</v>
      </c>
      <c r="J993" s="24">
        <v>436.59</v>
      </c>
      <c r="K993" s="24">
        <f t="shared" si="30"/>
        <v>873.18</v>
      </c>
      <c r="L993" s="24">
        <v>1286.19</v>
      </c>
      <c r="M993" s="2">
        <f t="shared" si="31"/>
        <v>413.0100000000001</v>
      </c>
      <c r="N993" t="str">
        <v>Low</v>
      </c>
      <c r="O993" t="s">
        <v>63</v>
      </c>
    </row>
    <row r="994" spans="1:15" x14ac:dyDescent="0.3">
      <c r="A994" t="s">
        <v>1032</v>
      </c>
      <c r="B994" s="1">
        <v>46285</v>
      </c>
      <c r="C994" t="s">
        <v>1166</v>
      </c>
      <c r="D994" t="s">
        <v>71</v>
      </c>
      <c r="E994" t="s">
        <v>1240</v>
      </c>
      <c r="F994" t="s">
        <v>1260</v>
      </c>
      <c r="G994" t="s">
        <v>60</v>
      </c>
      <c r="H994" t="s">
        <v>51</v>
      </c>
      <c r="I994">
        <v>1</v>
      </c>
      <c r="J994" s="24">
        <v>30.52</v>
      </c>
      <c r="K994" s="24">
        <f t="shared" si="30"/>
        <v>30.52</v>
      </c>
      <c r="L994" s="24">
        <v>43.29</v>
      </c>
      <c r="M994" s="2">
        <f t="shared" si="31"/>
        <v>12.77</v>
      </c>
      <c r="N994" t="str">
        <v>Low</v>
      </c>
      <c r="O994" t="s">
        <v>64</v>
      </c>
    </row>
    <row r="995" spans="1:15" x14ac:dyDescent="0.3">
      <c r="A995" t="s">
        <v>1033</v>
      </c>
      <c r="B995" s="1">
        <v>46286</v>
      </c>
      <c r="C995" t="s">
        <v>1041</v>
      </c>
      <c r="D995" t="s">
        <v>72</v>
      </c>
      <c r="E995" t="s">
        <v>1253</v>
      </c>
      <c r="F995" t="s">
        <v>1331</v>
      </c>
      <c r="G995" t="s">
        <v>60</v>
      </c>
      <c r="H995" t="s">
        <v>53</v>
      </c>
      <c r="I995">
        <v>8</v>
      </c>
      <c r="J995" s="24">
        <v>160.82</v>
      </c>
      <c r="K995" s="24">
        <f t="shared" si="30"/>
        <v>1286.56</v>
      </c>
      <c r="L995" s="24">
        <v>1564.62</v>
      </c>
      <c r="M995" s="2">
        <f t="shared" si="31"/>
        <v>278.05999999999995</v>
      </c>
      <c r="N995" t="str">
        <v>Low</v>
      </c>
      <c r="O995" t="s">
        <v>63</v>
      </c>
    </row>
    <row r="996" spans="1:15" x14ac:dyDescent="0.3">
      <c r="A996" t="s">
        <v>1034</v>
      </c>
      <c r="B996" s="1">
        <v>46287</v>
      </c>
      <c r="C996" t="s">
        <v>1218</v>
      </c>
      <c r="D996" t="s">
        <v>73</v>
      </c>
      <c r="E996" t="s">
        <v>1250</v>
      </c>
      <c r="F996" t="s">
        <v>1284</v>
      </c>
      <c r="G996" t="s">
        <v>60</v>
      </c>
      <c r="H996" t="s">
        <v>53</v>
      </c>
      <c r="I996">
        <v>8</v>
      </c>
      <c r="J996" s="24">
        <v>243.87</v>
      </c>
      <c r="K996" s="24">
        <f t="shared" si="30"/>
        <v>1950.96</v>
      </c>
      <c r="L996" s="24">
        <v>2699.08</v>
      </c>
      <c r="M996" s="2">
        <f t="shared" si="31"/>
        <v>748.11999999999989</v>
      </c>
      <c r="N996" t="str">
        <v>High</v>
      </c>
      <c r="O996" t="s">
        <v>64</v>
      </c>
    </row>
    <row r="997" spans="1:15" x14ac:dyDescent="0.3">
      <c r="A997" t="s">
        <v>1035</v>
      </c>
      <c r="B997" s="1">
        <v>46288</v>
      </c>
      <c r="C997" t="s">
        <v>1065</v>
      </c>
      <c r="D997" t="s">
        <v>71</v>
      </c>
      <c r="E997" t="s">
        <v>1251</v>
      </c>
      <c r="F997" t="s">
        <v>1279</v>
      </c>
      <c r="G997" t="s">
        <v>60</v>
      </c>
      <c r="H997" t="s">
        <v>51</v>
      </c>
      <c r="I997">
        <v>3</v>
      </c>
      <c r="J997" s="24">
        <v>265.43</v>
      </c>
      <c r="K997" s="24">
        <f t="shared" si="30"/>
        <v>796.29</v>
      </c>
      <c r="L997" s="24">
        <v>1028.81</v>
      </c>
      <c r="M997" s="2">
        <f t="shared" si="31"/>
        <v>232.51999999999998</v>
      </c>
      <c r="N997" t="str">
        <v>Low</v>
      </c>
      <c r="O997" t="s">
        <v>65</v>
      </c>
    </row>
    <row r="998" spans="1:15" x14ac:dyDescent="0.3">
      <c r="A998" t="s">
        <v>1036</v>
      </c>
      <c r="B998" s="1">
        <v>46289</v>
      </c>
      <c r="C998" t="s">
        <v>1161</v>
      </c>
      <c r="D998" t="s">
        <v>71</v>
      </c>
      <c r="E998" t="s">
        <v>1251</v>
      </c>
      <c r="F998" t="s">
        <v>1279</v>
      </c>
      <c r="G998" t="s">
        <v>60</v>
      </c>
      <c r="H998" t="s">
        <v>53</v>
      </c>
      <c r="I998">
        <v>4</v>
      </c>
      <c r="J998" s="24">
        <v>107.53</v>
      </c>
      <c r="K998" s="24">
        <f t="shared" si="30"/>
        <v>430.12</v>
      </c>
      <c r="L998" s="24">
        <v>631.37</v>
      </c>
      <c r="M998" s="2">
        <f t="shared" si="31"/>
        <v>201.25</v>
      </c>
      <c r="N998" t="str">
        <v>Low</v>
      </c>
      <c r="O998" t="s">
        <v>64</v>
      </c>
    </row>
    <row r="999" spans="1:15" x14ac:dyDescent="0.3">
      <c r="A999" t="s">
        <v>1037</v>
      </c>
      <c r="B999" s="1">
        <v>46290</v>
      </c>
      <c r="C999" t="s">
        <v>1150</v>
      </c>
      <c r="D999" t="s">
        <v>73</v>
      </c>
      <c r="E999" t="s">
        <v>1250</v>
      </c>
      <c r="F999" t="s">
        <v>1309</v>
      </c>
      <c r="G999" t="s">
        <v>60</v>
      </c>
      <c r="H999" t="s">
        <v>54</v>
      </c>
      <c r="I999">
        <v>10</v>
      </c>
      <c r="J999" s="24">
        <v>226.42</v>
      </c>
      <c r="K999" s="24">
        <f t="shared" si="30"/>
        <v>2264.1999999999998</v>
      </c>
      <c r="L999" s="24">
        <v>2545.56</v>
      </c>
      <c r="M999" s="2">
        <f t="shared" si="31"/>
        <v>281.36000000000013</v>
      </c>
      <c r="N999" t="str">
        <v>High</v>
      </c>
      <c r="O999" t="s">
        <v>64</v>
      </c>
    </row>
    <row r="1000" spans="1:15" x14ac:dyDescent="0.3">
      <c r="A1000" t="s">
        <v>1038</v>
      </c>
      <c r="B1000" s="1">
        <v>46291</v>
      </c>
      <c r="C1000" t="s">
        <v>1073</v>
      </c>
      <c r="D1000" t="s">
        <v>71</v>
      </c>
      <c r="E1000" t="s">
        <v>1241</v>
      </c>
      <c r="F1000" t="s">
        <v>1312</v>
      </c>
      <c r="G1000" t="s">
        <v>60</v>
      </c>
      <c r="H1000" t="s">
        <v>53</v>
      </c>
      <c r="I1000">
        <v>1</v>
      </c>
      <c r="J1000" s="24">
        <v>197.03</v>
      </c>
      <c r="K1000" s="24">
        <f t="shared" si="30"/>
        <v>197.03</v>
      </c>
      <c r="L1000" s="24">
        <v>231.69</v>
      </c>
      <c r="M1000" s="2">
        <f t="shared" si="31"/>
        <v>34.659999999999997</v>
      </c>
      <c r="N1000" t="str">
        <v>Low</v>
      </c>
      <c r="O1000" t="s">
        <v>65</v>
      </c>
    </row>
    <row r="1001" spans="1:15" x14ac:dyDescent="0.3">
      <c r="A1001" t="s">
        <v>1039</v>
      </c>
      <c r="B1001" s="1">
        <v>46292</v>
      </c>
      <c r="C1001" t="s">
        <v>1050</v>
      </c>
      <c r="D1001" t="s">
        <v>1256</v>
      </c>
      <c r="E1001" t="s">
        <v>1241</v>
      </c>
      <c r="F1001" t="s">
        <v>1263</v>
      </c>
      <c r="G1001" t="s">
        <v>60</v>
      </c>
      <c r="H1001" t="s">
        <v>54</v>
      </c>
      <c r="I1001">
        <v>9</v>
      </c>
      <c r="J1001" s="24">
        <v>445.16</v>
      </c>
      <c r="K1001" s="24">
        <f t="shared" si="30"/>
        <v>4006.44</v>
      </c>
      <c r="L1001" s="24">
        <v>4813.18</v>
      </c>
      <c r="M1001" s="2">
        <f t="shared" si="31"/>
        <v>806.74000000000024</v>
      </c>
      <c r="N1001" t="str">
        <v>High</v>
      </c>
      <c r="O1001" t="s">
        <v>64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0621-763C-46E0-9839-E63F46C31D67}">
  <dimension ref="B2:F6"/>
  <sheetViews>
    <sheetView workbookViewId="0">
      <selection activeCell="K22" sqref="K22"/>
    </sheetView>
  </sheetViews>
  <sheetFormatPr defaultRowHeight="14.4" x14ac:dyDescent="0.3"/>
  <cols>
    <col min="2" max="2" width="11.5546875" bestFit="1" customWidth="1"/>
    <col min="3" max="3" width="21.109375" bestFit="1" customWidth="1"/>
    <col min="4" max="4" width="10.21875" bestFit="1" customWidth="1"/>
    <col min="5" max="5" width="10.5546875" bestFit="1" customWidth="1"/>
    <col min="6" max="6" width="19.88671875" bestFit="1" customWidth="1"/>
  </cols>
  <sheetData>
    <row r="2" spans="2:6" ht="15" thickBot="1" x14ac:dyDescent="0.35"/>
    <row r="3" spans="2:6" ht="21" x14ac:dyDescent="0.4">
      <c r="B3" s="39" t="s">
        <v>1340</v>
      </c>
      <c r="C3" s="40"/>
      <c r="D3" s="40"/>
      <c r="E3" s="40"/>
      <c r="F3" s="41"/>
    </row>
    <row r="4" spans="2:6" ht="21" x14ac:dyDescent="0.4">
      <c r="B4" s="28" t="s">
        <v>79</v>
      </c>
      <c r="C4" s="29" t="s">
        <v>69</v>
      </c>
      <c r="D4" s="29" t="s">
        <v>1338</v>
      </c>
      <c r="E4" s="29" t="s">
        <v>62</v>
      </c>
      <c r="F4" s="30" t="s">
        <v>1339</v>
      </c>
    </row>
    <row r="5" spans="2:6" ht="21" x14ac:dyDescent="0.4">
      <c r="B5" s="28" t="s">
        <v>27</v>
      </c>
      <c r="C5" s="29" t="str">
        <f>VLOOKUP(B5,Salestable,3,0)</f>
        <v>Customer_102</v>
      </c>
      <c r="D5" s="29" t="str">
        <f>VLOOKUP($B$5,Salestable,4,0)</f>
        <v>South</v>
      </c>
      <c r="E5" s="29">
        <f>VLOOKUP($B$5,Salestable,13,0)</f>
        <v>287.54999999999995</v>
      </c>
      <c r="F5" s="30" t="str">
        <f>VLOOKUP($B$5,Salestable,15,0)</f>
        <v>UPI</v>
      </c>
    </row>
    <row r="6" spans="2:6" ht="21.6" thickBot="1" x14ac:dyDescent="0.45">
      <c r="B6" s="31" t="s">
        <v>241</v>
      </c>
      <c r="C6" s="32" t="str">
        <f>_xlfn.XLOOKUP($B$6,'Sales Data'!$A:$A,'Sales Data'!C:C)</f>
        <v>Customer_76</v>
      </c>
      <c r="D6" s="32" t="str">
        <f>_xlfn.XLOOKUP($B$6,'Sales Data'!$A:$A,'Sales Data'!D:D)</f>
        <v>North</v>
      </c>
      <c r="E6" s="32">
        <f>_xlfn.XLOOKUP(B6,'Sales Data'!A1:A1001,'Sales Data'!M1:M1001)</f>
        <v>18.059999999999988</v>
      </c>
      <c r="F6" s="33" t="str">
        <f>_xlfn.XLOOKUP($B$6,'Sales Data'!$A:$A,'Sales Data'!F:F)</f>
        <v>Prayagraj</v>
      </c>
    </row>
  </sheetData>
  <mergeCells count="1">
    <mergeCell ref="B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DCDD-3B00-48D6-AFA0-84AF86FAE541}">
  <dimension ref="A1:S15"/>
  <sheetViews>
    <sheetView workbookViewId="0">
      <selection activeCell="D29" sqref="D29:E29"/>
    </sheetView>
  </sheetViews>
  <sheetFormatPr defaultRowHeight="14.4" x14ac:dyDescent="0.3"/>
  <cols>
    <col min="1" max="1" width="24.33203125" bestFit="1" customWidth="1"/>
    <col min="2" max="2" width="21" bestFit="1" customWidth="1"/>
    <col min="3" max="3" width="18.44140625" bestFit="1" customWidth="1"/>
    <col min="4" max="4" width="16.21875" bestFit="1" customWidth="1"/>
    <col min="5" max="5" width="14.44140625" bestFit="1" customWidth="1"/>
    <col min="6" max="6" width="19.88671875" bestFit="1" customWidth="1"/>
    <col min="7" max="7" width="18.44140625" bestFit="1" customWidth="1"/>
    <col min="8" max="8" width="16.21875" bestFit="1" customWidth="1"/>
    <col min="9" max="9" width="19.109375" bestFit="1" customWidth="1"/>
    <col min="10" max="10" width="8.88671875" bestFit="1" customWidth="1"/>
  </cols>
  <sheetData>
    <row r="1" spans="1:19" ht="18" x14ac:dyDescent="0.35">
      <c r="A1" s="21" t="s">
        <v>81</v>
      </c>
      <c r="B1" s="22" t="s">
        <v>82</v>
      </c>
    </row>
    <row r="2" spans="1:19" ht="19.8" x14ac:dyDescent="0.4">
      <c r="A2" s="12" t="s">
        <v>1335</v>
      </c>
      <c r="B2" s="26">
        <f>SUM('Sales Data'!K2:K1001)</f>
        <v>1471485.9000000001</v>
      </c>
    </row>
    <row r="3" spans="1:19" ht="19.8" x14ac:dyDescent="0.4">
      <c r="A3" s="12" t="s">
        <v>83</v>
      </c>
      <c r="B3" s="26">
        <f>SUM('Sales Data'!L2:L1001)</f>
        <v>1908865.5800000015</v>
      </c>
    </row>
    <row r="4" spans="1:19" ht="19.8" x14ac:dyDescent="0.4">
      <c r="A4" s="12" t="s">
        <v>84</v>
      </c>
      <c r="B4" s="26">
        <f>SUM('Sales Data'!M2:M1001)</f>
        <v>437379.67999999976</v>
      </c>
      <c r="S4">
        <f>_xlfn.XLOOKUP(P4,A1:A1001,M1:M1001)</f>
        <v>0</v>
      </c>
    </row>
    <row r="5" spans="1:19" ht="19.8" x14ac:dyDescent="0.4">
      <c r="A5" s="12" t="s">
        <v>85</v>
      </c>
      <c r="B5" s="17">
        <f>COUNTA('Sales Data'!A2:A1001)</f>
        <v>1000</v>
      </c>
    </row>
    <row r="6" spans="1:19" ht="20.399999999999999" thickBot="1" x14ac:dyDescent="0.45">
      <c r="A6" s="20" t="s">
        <v>86</v>
      </c>
      <c r="B6" s="19">
        <f>AVERAGE('Sales Data'!M2:M1001)</f>
        <v>437.37967999999978</v>
      </c>
    </row>
    <row r="7" spans="1:19" ht="15" thickBot="1" x14ac:dyDescent="0.35"/>
    <row r="8" spans="1:19" ht="25.8" x14ac:dyDescent="0.5">
      <c r="A8" s="42" t="s">
        <v>88</v>
      </c>
      <c r="B8" s="43"/>
      <c r="C8" s="43"/>
      <c r="D8" s="43"/>
      <c r="E8" s="43"/>
      <c r="F8" s="43"/>
      <c r="G8" s="43"/>
      <c r="H8" s="43"/>
      <c r="I8" s="43"/>
      <c r="J8" s="44"/>
    </row>
    <row r="9" spans="1:19" ht="19.8" x14ac:dyDescent="0.4">
      <c r="A9" s="10" t="s">
        <v>70</v>
      </c>
      <c r="B9" s="6" t="s">
        <v>87</v>
      </c>
      <c r="C9" s="6" t="s">
        <v>62</v>
      </c>
      <c r="D9" s="7"/>
      <c r="E9" s="5" t="s">
        <v>50</v>
      </c>
      <c r="F9" s="6" t="s">
        <v>87</v>
      </c>
      <c r="G9" s="6" t="s">
        <v>62</v>
      </c>
      <c r="H9" s="7"/>
      <c r="I9" s="6" t="s">
        <v>66</v>
      </c>
      <c r="J9" s="11" t="s">
        <v>89</v>
      </c>
    </row>
    <row r="10" spans="1:19" ht="19.8" x14ac:dyDescent="0.4">
      <c r="A10" s="12" t="s">
        <v>71</v>
      </c>
      <c r="B10" s="9">
        <f>SUMIF('Sales Data'!D2:D1001,'KPI Summary'!A10,'Sales Data'!L2:L1001)</f>
        <v>633941.49999999988</v>
      </c>
      <c r="C10" s="9">
        <f>SUMIF('Sales Data'!D2:D1001,'KPI Summary'!A10,'Sales Data'!M2:M1001)</f>
        <v>145015.59000000003</v>
      </c>
      <c r="D10" s="7"/>
      <c r="E10" s="8" t="s">
        <v>53</v>
      </c>
      <c r="F10" s="9">
        <f>SUMIF('Sales Data'!H2:H1001,'KPI Summary'!E10,'Sales Data'!L2:L1001)</f>
        <v>536622.58000000007</v>
      </c>
      <c r="G10" s="9">
        <f>SUMIF('Sales Data'!H2:H1001,'KPI Summary'!E10,'Sales Data'!M2:M1001)</f>
        <v>120707.43000000001</v>
      </c>
      <c r="H10" s="7"/>
      <c r="I10" s="8" t="s">
        <v>63</v>
      </c>
      <c r="J10" s="17">
        <f>COUNTIF('Sales Data'!O2:O1001,'KPI Summary'!I10)</f>
        <v>332</v>
      </c>
    </row>
    <row r="11" spans="1:19" ht="19.8" x14ac:dyDescent="0.4">
      <c r="A11" s="12" t="s">
        <v>1255</v>
      </c>
      <c r="B11" s="9">
        <f>SUMIF('Sales Data'!D3:D1002,'KPI Summary'!A11,'Sales Data'!L3:L1002)</f>
        <v>110443.24999999997</v>
      </c>
      <c r="C11" s="9">
        <f>SUMIF('Sales Data'!D3:D1002,'KPI Summary'!A11,'Sales Data'!M3:M1002)</f>
        <v>24976.01999999999</v>
      </c>
      <c r="D11" s="7"/>
      <c r="E11" s="8" t="s">
        <v>54</v>
      </c>
      <c r="F11" s="9">
        <f>SUMIF('Sales Data'!H3:H1002,'KPI Summary'!E11,'Sales Data'!L3:L1002)</f>
        <v>392010.39000000007</v>
      </c>
      <c r="G11" s="9">
        <f>SUMIF('Sales Data'!H3:H1002,'KPI Summary'!E11,'Sales Data'!M3:M1002)</f>
        <v>91474.670000000042</v>
      </c>
      <c r="H11" s="7"/>
      <c r="I11" s="8" t="s">
        <v>64</v>
      </c>
      <c r="J11" s="17">
        <f>COUNTIF('Sales Data'!O3:O1002,'KPI Summary'!I11)</f>
        <v>338</v>
      </c>
    </row>
    <row r="12" spans="1:19" ht="19.8" x14ac:dyDescent="0.4">
      <c r="A12" s="12" t="s">
        <v>73</v>
      </c>
      <c r="B12" s="9">
        <f>SUMIF('Sales Data'!D3:D1002,'KPI Summary'!A12,'Sales Data'!L3:L1002)</f>
        <v>340459.56000000006</v>
      </c>
      <c r="C12" s="9">
        <f>SUMIF('Sales Data'!D3:D1002,'KPI Summary'!A12,'Sales Data'!M3:M1002)</f>
        <v>78610.12</v>
      </c>
      <c r="D12" s="7"/>
      <c r="E12" s="8" t="s">
        <v>51</v>
      </c>
      <c r="F12" s="9">
        <f>SUMIF('Sales Data'!H4:H1003,'KPI Summary'!E12,'Sales Data'!L4:L1003)</f>
        <v>540068.68999999971</v>
      </c>
      <c r="G12" s="9">
        <f>SUMIF('Sales Data'!H4:H1003,'KPI Summary'!E12,'Sales Data'!M4:M1003)</f>
        <v>122762.07000000005</v>
      </c>
      <c r="H12" s="7"/>
      <c r="I12" s="8" t="s">
        <v>65</v>
      </c>
      <c r="J12" s="17">
        <f>COUNTIF('Sales Data'!O4:O1003,'KPI Summary'!I12)</f>
        <v>330</v>
      </c>
    </row>
    <row r="13" spans="1:19" ht="19.8" x14ac:dyDescent="0.4">
      <c r="A13" s="12" t="s">
        <v>72</v>
      </c>
      <c r="B13" s="9">
        <f>SUMIF('Sales Data'!D4:D1003,'KPI Summary'!A13,'Sales Data'!L4:L1003)</f>
        <v>488554.02000000008</v>
      </c>
      <c r="C13" s="9">
        <f>SUMIF('Sales Data'!D4:D1003,'KPI Summary'!A13,'Sales Data'!M4:M1003)</f>
        <v>114855.67000000003</v>
      </c>
      <c r="D13" s="7"/>
      <c r="E13" s="8" t="s">
        <v>52</v>
      </c>
      <c r="F13" s="9">
        <f>SUMIF('Sales Data'!H5:H1004,'KPI Summary'!E13,'Sales Data'!L5:L1004)</f>
        <v>435966.4200000001</v>
      </c>
      <c r="G13" s="9">
        <f>SUMIF('Sales Data'!H5:H1004,'KPI Summary'!E13,'Sales Data'!M5:M1004)</f>
        <v>101789.45000000001</v>
      </c>
      <c r="H13" s="7"/>
      <c r="J13" s="27"/>
    </row>
    <row r="14" spans="1:19" ht="19.8" x14ac:dyDescent="0.4">
      <c r="A14" s="12" t="s">
        <v>74</v>
      </c>
      <c r="B14" s="9">
        <f>SUMIF('Sales Data'!D5:D1004,'KPI Summary'!A14,'Sales Data'!L5:L1004)</f>
        <v>330654.07000000007</v>
      </c>
      <c r="C14" s="9">
        <f>SUMIF('Sales Data'!D5:D1004,'KPI Summary'!A14,'Sales Data'!M5:M1004)</f>
        <v>73115.539999999994</v>
      </c>
      <c r="D14" s="7"/>
      <c r="H14" s="7"/>
      <c r="I14" s="7"/>
      <c r="J14" s="18"/>
    </row>
    <row r="15" spans="1:19" ht="20.399999999999999" thickBot="1" x14ac:dyDescent="0.45">
      <c r="A15" s="13" t="s">
        <v>78</v>
      </c>
      <c r="B15" s="14">
        <f>SUM(B10:B14)</f>
        <v>1904052.4000000001</v>
      </c>
      <c r="C15" s="14">
        <f>SUM(C10:C14)</f>
        <v>436572.94</v>
      </c>
      <c r="D15" s="15"/>
      <c r="E15" s="16" t="s">
        <v>78</v>
      </c>
      <c r="F15" s="14">
        <f>SUM(F10:F13)</f>
        <v>1904668.08</v>
      </c>
      <c r="G15" s="14">
        <f>SUM(G10:G13)</f>
        <v>436733.62000000011</v>
      </c>
      <c r="H15" s="15"/>
      <c r="I15" s="16" t="s">
        <v>78</v>
      </c>
      <c r="J15" s="19">
        <f>SUM(J10:J12)</f>
        <v>1000</v>
      </c>
    </row>
  </sheetData>
  <mergeCells count="1">
    <mergeCell ref="A8:J8"/>
  </mergeCells>
  <conditionalFormatting sqref="A9:A10 A12:A14 E9:E13 G9:G13 C9:C14">
    <cfRule type="colorScale" priority="5">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316E4-1A39-4C76-8927-A9D818C2F373}">
  <dimension ref="A1:M1001"/>
  <sheetViews>
    <sheetView workbookViewId="0">
      <selection activeCell="D32" sqref="D32"/>
    </sheetView>
  </sheetViews>
  <sheetFormatPr defaultRowHeight="14.4" x14ac:dyDescent="0.3"/>
  <cols>
    <col min="1" max="1" width="12.5546875" bestFit="1" customWidth="1"/>
    <col min="2" max="2" width="19.21875" bestFit="1" customWidth="1"/>
    <col min="3" max="3" width="12.109375" bestFit="1" customWidth="1"/>
    <col min="4" max="4" width="12.5546875" bestFit="1" customWidth="1"/>
    <col min="5" max="5" width="22.6640625" bestFit="1" customWidth="1"/>
    <col min="6" max="6" width="12.109375" bestFit="1" customWidth="1"/>
    <col min="7" max="7" width="12.5546875" bestFit="1" customWidth="1"/>
    <col min="8" max="8" width="19.21875" bestFit="1" customWidth="1"/>
    <col min="10" max="10" width="12.109375" bestFit="1" customWidth="1"/>
    <col min="12" max="12" width="10.44140625" bestFit="1" customWidth="1"/>
    <col min="13" max="13" width="13.44140625" bestFit="1" customWidth="1"/>
  </cols>
  <sheetData>
    <row r="1" spans="1:13" x14ac:dyDescent="0.3">
      <c r="M1" s="2"/>
    </row>
    <row r="2" spans="1:13" x14ac:dyDescent="0.3">
      <c r="M2" s="25"/>
    </row>
    <row r="3" spans="1:13" x14ac:dyDescent="0.3">
      <c r="A3" s="3" t="s">
        <v>77</v>
      </c>
      <c r="B3" s="3" t="s">
        <v>1346</v>
      </c>
      <c r="H3" t="s">
        <v>76</v>
      </c>
      <c r="J3" t="s">
        <v>77</v>
      </c>
      <c r="M3" s="24"/>
    </row>
    <row r="4" spans="1:13" x14ac:dyDescent="0.3">
      <c r="A4" s="3" t="s">
        <v>1337</v>
      </c>
      <c r="B4" t="s">
        <v>52</v>
      </c>
      <c r="C4" t="s">
        <v>53</v>
      </c>
      <c r="D4" t="s">
        <v>54</v>
      </c>
      <c r="E4" t="s">
        <v>51</v>
      </c>
      <c r="F4" t="s">
        <v>75</v>
      </c>
      <c r="H4" s="38">
        <v>1908865.5800000015</v>
      </c>
      <c r="J4" s="38">
        <v>437379.67999999976</v>
      </c>
      <c r="M4" s="24"/>
    </row>
    <row r="5" spans="1:13" x14ac:dyDescent="0.3">
      <c r="A5" s="4" t="s">
        <v>1343</v>
      </c>
      <c r="B5" s="2">
        <v>38605.799999999988</v>
      </c>
      <c r="C5" s="2">
        <v>41604.959999999985</v>
      </c>
      <c r="D5" s="2">
        <v>33107.930000000008</v>
      </c>
      <c r="E5" s="2">
        <v>48862.569999999978</v>
      </c>
      <c r="F5" s="2">
        <v>162181.25999999995</v>
      </c>
      <c r="M5" s="24"/>
    </row>
    <row r="6" spans="1:13" x14ac:dyDescent="0.3">
      <c r="A6" s="4" t="s">
        <v>1344</v>
      </c>
      <c r="B6" s="2">
        <v>35073.43</v>
      </c>
      <c r="C6" s="2">
        <v>47519.94000000001</v>
      </c>
      <c r="D6" s="2">
        <v>33836.039999999994</v>
      </c>
      <c r="E6" s="2">
        <v>44050.030000000013</v>
      </c>
      <c r="F6" s="2">
        <v>160479.44</v>
      </c>
      <c r="H6" s="38">
        <f>GETPIVOTDATA("Sales Amount",$H$3)</f>
        <v>1908865.5800000015</v>
      </c>
      <c r="J6" s="38">
        <f>GETPIVOTDATA("Profit",$J$3)</f>
        <v>437379.67999999976</v>
      </c>
      <c r="M6" s="24"/>
    </row>
    <row r="7" spans="1:13" x14ac:dyDescent="0.3">
      <c r="A7" s="4" t="s">
        <v>1345</v>
      </c>
      <c r="B7" s="2">
        <v>28646.41</v>
      </c>
      <c r="C7" s="2">
        <v>31582.530000000006</v>
      </c>
      <c r="D7" s="2">
        <v>24530.7</v>
      </c>
      <c r="E7" s="2">
        <v>29959.34</v>
      </c>
      <c r="F7" s="2">
        <v>114718.98</v>
      </c>
      <c r="H7" s="38"/>
      <c r="J7" s="38"/>
      <c r="M7" s="24"/>
    </row>
    <row r="8" spans="1:13" x14ac:dyDescent="0.3">
      <c r="A8" s="4" t="s">
        <v>75</v>
      </c>
      <c r="B8" s="2">
        <v>102325.63999999998</v>
      </c>
      <c r="C8" s="2">
        <v>120707.43</v>
      </c>
      <c r="D8" s="2">
        <v>91474.67</v>
      </c>
      <c r="E8" s="2">
        <v>122871.93999999999</v>
      </c>
      <c r="F8" s="2">
        <v>437379.67999999993</v>
      </c>
      <c r="M8" s="24"/>
    </row>
    <row r="9" spans="1:13" x14ac:dyDescent="0.3">
      <c r="M9" s="24"/>
    </row>
    <row r="10" spans="1:13" x14ac:dyDescent="0.3">
      <c r="M10" s="24"/>
    </row>
    <row r="11" spans="1:13" x14ac:dyDescent="0.3">
      <c r="M11" s="24"/>
    </row>
    <row r="12" spans="1:13" x14ac:dyDescent="0.3">
      <c r="A12" s="3" t="s">
        <v>1337</v>
      </c>
      <c r="B12" t="s">
        <v>76</v>
      </c>
      <c r="D12" s="3" t="s">
        <v>1337</v>
      </c>
      <c r="E12" t="s">
        <v>1347</v>
      </c>
      <c r="G12" s="3" t="s">
        <v>1337</v>
      </c>
      <c r="H12" t="s">
        <v>1348</v>
      </c>
      <c r="M12" s="24"/>
    </row>
    <row r="13" spans="1:13" x14ac:dyDescent="0.3">
      <c r="A13" s="4" t="s">
        <v>72</v>
      </c>
      <c r="B13" s="24">
        <v>488554.02000000008</v>
      </c>
      <c r="D13" s="4" t="s">
        <v>1343</v>
      </c>
      <c r="E13">
        <v>365</v>
      </c>
      <c r="G13" s="4" t="s">
        <v>65</v>
      </c>
      <c r="H13">
        <v>330</v>
      </c>
      <c r="M13" s="24"/>
    </row>
    <row r="14" spans="1:13" x14ac:dyDescent="0.3">
      <c r="A14" s="4" t="s">
        <v>71</v>
      </c>
      <c r="B14" s="24">
        <v>633941.49999999988</v>
      </c>
      <c r="D14" s="4" t="s">
        <v>1344</v>
      </c>
      <c r="E14">
        <v>365</v>
      </c>
      <c r="G14" s="4" t="s">
        <v>64</v>
      </c>
      <c r="H14">
        <v>338</v>
      </c>
      <c r="M14" s="24"/>
    </row>
    <row r="15" spans="1:13" x14ac:dyDescent="0.3">
      <c r="A15" s="4" t="s">
        <v>1256</v>
      </c>
      <c r="B15" s="24">
        <v>4813.18</v>
      </c>
      <c r="D15" s="4" t="s">
        <v>1345</v>
      </c>
      <c r="E15">
        <v>270</v>
      </c>
      <c r="G15" s="4" t="s">
        <v>63</v>
      </c>
      <c r="H15">
        <v>332</v>
      </c>
      <c r="M15" s="24"/>
    </row>
    <row r="16" spans="1:13" x14ac:dyDescent="0.3">
      <c r="A16" s="4" t="s">
        <v>1255</v>
      </c>
      <c r="B16" s="24">
        <v>110443.24999999997</v>
      </c>
      <c r="D16" s="4" t="s">
        <v>75</v>
      </c>
      <c r="E16">
        <v>1000</v>
      </c>
      <c r="G16" s="4" t="s">
        <v>75</v>
      </c>
      <c r="H16">
        <v>1000</v>
      </c>
      <c r="M16" s="24"/>
    </row>
    <row r="17" spans="1:13" x14ac:dyDescent="0.3">
      <c r="A17" s="4" t="s">
        <v>73</v>
      </c>
      <c r="B17" s="24">
        <v>340459.56000000006</v>
      </c>
      <c r="M17" s="24"/>
    </row>
    <row r="18" spans="1:13" x14ac:dyDescent="0.3">
      <c r="A18" s="4" t="s">
        <v>74</v>
      </c>
      <c r="B18" s="24">
        <v>330654.07000000007</v>
      </c>
      <c r="M18" s="24"/>
    </row>
    <row r="19" spans="1:13" x14ac:dyDescent="0.3">
      <c r="A19" s="4" t="s">
        <v>75</v>
      </c>
      <c r="B19" s="24">
        <v>1908865.58</v>
      </c>
      <c r="M19" s="24"/>
    </row>
    <row r="20" spans="1:13" x14ac:dyDescent="0.3">
      <c r="M20" s="24"/>
    </row>
    <row r="21" spans="1:13" x14ac:dyDescent="0.3">
      <c r="M21" s="24"/>
    </row>
    <row r="22" spans="1:13" x14ac:dyDescent="0.3">
      <c r="A22" s="3" t="s">
        <v>1337</v>
      </c>
      <c r="B22" t="s">
        <v>77</v>
      </c>
      <c r="D22" s="3" t="s">
        <v>1337</v>
      </c>
      <c r="E22" t="s">
        <v>76</v>
      </c>
      <c r="M22" s="24"/>
    </row>
    <row r="23" spans="1:13" x14ac:dyDescent="0.3">
      <c r="A23" s="4" t="s">
        <v>52</v>
      </c>
      <c r="B23" s="2">
        <v>102325.64000000001</v>
      </c>
      <c r="D23" s="4" t="s">
        <v>52</v>
      </c>
      <c r="E23" s="24">
        <v>439406.05000000005</v>
      </c>
      <c r="M23" s="24"/>
    </row>
    <row r="24" spans="1:13" x14ac:dyDescent="0.3">
      <c r="A24" s="4" t="s">
        <v>53</v>
      </c>
      <c r="B24" s="2">
        <v>120707.43000000001</v>
      </c>
      <c r="D24" s="4" t="s">
        <v>53</v>
      </c>
      <c r="E24" s="24">
        <v>536622.58000000007</v>
      </c>
      <c r="M24" s="24"/>
    </row>
    <row r="25" spans="1:13" x14ac:dyDescent="0.3">
      <c r="A25" s="4" t="s">
        <v>54</v>
      </c>
      <c r="B25" s="2">
        <v>91474.670000000042</v>
      </c>
      <c r="D25" s="4" t="s">
        <v>54</v>
      </c>
      <c r="E25" s="24">
        <v>392010.39000000007</v>
      </c>
      <c r="M25" s="24"/>
    </row>
    <row r="26" spans="1:13" x14ac:dyDescent="0.3">
      <c r="A26" s="4" t="s">
        <v>51</v>
      </c>
      <c r="B26" s="2">
        <v>122871.94000000005</v>
      </c>
      <c r="D26" s="4" t="s">
        <v>51</v>
      </c>
      <c r="E26" s="24">
        <v>540826.55999999982</v>
      </c>
      <c r="M26" s="24"/>
    </row>
    <row r="27" spans="1:13" x14ac:dyDescent="0.3">
      <c r="A27" s="4" t="s">
        <v>75</v>
      </c>
      <c r="B27" s="2">
        <v>437379.68000000011</v>
      </c>
      <c r="D27" s="4" t="s">
        <v>75</v>
      </c>
      <c r="E27" s="24">
        <v>1908865.58</v>
      </c>
      <c r="M27" s="24"/>
    </row>
    <row r="28" spans="1:13" x14ac:dyDescent="0.3">
      <c r="M28" s="24"/>
    </row>
    <row r="29" spans="1:13" x14ac:dyDescent="0.3">
      <c r="M29" s="24"/>
    </row>
    <row r="30" spans="1:13" x14ac:dyDescent="0.3">
      <c r="M30" s="24"/>
    </row>
    <row r="31" spans="1:13" x14ac:dyDescent="0.3">
      <c r="M31" s="24"/>
    </row>
    <row r="32" spans="1:13" x14ac:dyDescent="0.3">
      <c r="M32" s="24"/>
    </row>
    <row r="33" spans="13:13" x14ac:dyDescent="0.3">
      <c r="M33" s="24"/>
    </row>
    <row r="34" spans="13:13" x14ac:dyDescent="0.3">
      <c r="M34" s="24"/>
    </row>
    <row r="35" spans="13:13" x14ac:dyDescent="0.3">
      <c r="M35" s="24"/>
    </row>
    <row r="36" spans="13:13" x14ac:dyDescent="0.3">
      <c r="M36" s="24"/>
    </row>
    <row r="37" spans="13:13" x14ac:dyDescent="0.3">
      <c r="M37" s="24"/>
    </row>
    <row r="38" spans="13:13" x14ac:dyDescent="0.3">
      <c r="M38" s="24"/>
    </row>
    <row r="39" spans="13:13" x14ac:dyDescent="0.3">
      <c r="M39" s="24"/>
    </row>
    <row r="40" spans="13:13" x14ac:dyDescent="0.3">
      <c r="M40" s="24"/>
    </row>
    <row r="41" spans="13:13" x14ac:dyDescent="0.3">
      <c r="M41" s="24"/>
    </row>
    <row r="42" spans="13:13" x14ac:dyDescent="0.3">
      <c r="M42" s="24"/>
    </row>
    <row r="43" spans="13:13" x14ac:dyDescent="0.3">
      <c r="M43" s="24"/>
    </row>
    <row r="44" spans="13:13" x14ac:dyDescent="0.3">
      <c r="M44" s="24"/>
    </row>
    <row r="45" spans="13:13" x14ac:dyDescent="0.3">
      <c r="M45" s="24"/>
    </row>
    <row r="46" spans="13:13" x14ac:dyDescent="0.3">
      <c r="M46" s="24"/>
    </row>
    <row r="47" spans="13:13" x14ac:dyDescent="0.3">
      <c r="M47" s="24"/>
    </row>
    <row r="48" spans="13:13" x14ac:dyDescent="0.3">
      <c r="M48" s="24"/>
    </row>
    <row r="49" spans="13:13" x14ac:dyDescent="0.3">
      <c r="M49" s="24"/>
    </row>
    <row r="50" spans="13:13" x14ac:dyDescent="0.3">
      <c r="M50" s="24"/>
    </row>
    <row r="51" spans="13:13" x14ac:dyDescent="0.3">
      <c r="M51" s="24"/>
    </row>
    <row r="52" spans="13:13" x14ac:dyDescent="0.3">
      <c r="M52" s="24"/>
    </row>
    <row r="53" spans="13:13" x14ac:dyDescent="0.3">
      <c r="M53" s="24"/>
    </row>
    <row r="54" spans="13:13" x14ac:dyDescent="0.3">
      <c r="M54" s="24"/>
    </row>
    <row r="55" spans="13:13" x14ac:dyDescent="0.3">
      <c r="M55" s="24"/>
    </row>
    <row r="56" spans="13:13" x14ac:dyDescent="0.3">
      <c r="M56" s="24"/>
    </row>
    <row r="57" spans="13:13" x14ac:dyDescent="0.3">
      <c r="M57" s="24"/>
    </row>
    <row r="58" spans="13:13" x14ac:dyDescent="0.3">
      <c r="M58" s="24"/>
    </row>
    <row r="59" spans="13:13" x14ac:dyDescent="0.3">
      <c r="M59" s="24"/>
    </row>
    <row r="60" spans="13:13" x14ac:dyDescent="0.3">
      <c r="M60" s="24"/>
    </row>
    <row r="61" spans="13:13" x14ac:dyDescent="0.3">
      <c r="M61" s="24"/>
    </row>
    <row r="62" spans="13:13" x14ac:dyDescent="0.3">
      <c r="M62" s="24"/>
    </row>
    <row r="63" spans="13:13" x14ac:dyDescent="0.3">
      <c r="M63" s="24"/>
    </row>
    <row r="64" spans="13:13" x14ac:dyDescent="0.3">
      <c r="M64" s="24"/>
    </row>
    <row r="65" spans="13:13" x14ac:dyDescent="0.3">
      <c r="M65" s="24"/>
    </row>
    <row r="66" spans="13:13" x14ac:dyDescent="0.3">
      <c r="M66" s="24"/>
    </row>
    <row r="67" spans="13:13" x14ac:dyDescent="0.3">
      <c r="M67" s="24"/>
    </row>
    <row r="68" spans="13:13" x14ac:dyDescent="0.3">
      <c r="M68" s="24"/>
    </row>
    <row r="69" spans="13:13" x14ac:dyDescent="0.3">
      <c r="M69" s="24"/>
    </row>
    <row r="70" spans="13:13" x14ac:dyDescent="0.3">
      <c r="M70" s="24"/>
    </row>
    <row r="71" spans="13:13" x14ac:dyDescent="0.3">
      <c r="M71" s="24"/>
    </row>
    <row r="72" spans="13:13" x14ac:dyDescent="0.3">
      <c r="M72" s="24"/>
    </row>
    <row r="73" spans="13:13" x14ac:dyDescent="0.3">
      <c r="M73" s="24"/>
    </row>
    <row r="74" spans="13:13" x14ac:dyDescent="0.3">
      <c r="M74" s="24"/>
    </row>
    <row r="75" spans="13:13" x14ac:dyDescent="0.3">
      <c r="M75" s="24"/>
    </row>
    <row r="76" spans="13:13" x14ac:dyDescent="0.3">
      <c r="M76" s="24"/>
    </row>
    <row r="77" spans="13:13" x14ac:dyDescent="0.3">
      <c r="M77" s="24"/>
    </row>
    <row r="78" spans="13:13" x14ac:dyDescent="0.3">
      <c r="M78" s="24"/>
    </row>
    <row r="79" spans="13:13" x14ac:dyDescent="0.3">
      <c r="M79" s="24"/>
    </row>
    <row r="80" spans="13:13" x14ac:dyDescent="0.3">
      <c r="M80" s="24"/>
    </row>
    <row r="81" spans="13:13" x14ac:dyDescent="0.3">
      <c r="M81" s="24"/>
    </row>
    <row r="82" spans="13:13" x14ac:dyDescent="0.3">
      <c r="M82" s="24"/>
    </row>
    <row r="83" spans="13:13" x14ac:dyDescent="0.3">
      <c r="M83" s="24"/>
    </row>
    <row r="84" spans="13:13" x14ac:dyDescent="0.3">
      <c r="M84" s="24"/>
    </row>
    <row r="85" spans="13:13" x14ac:dyDescent="0.3">
      <c r="M85" s="24"/>
    </row>
    <row r="86" spans="13:13" x14ac:dyDescent="0.3">
      <c r="M86" s="24"/>
    </row>
    <row r="87" spans="13:13" x14ac:dyDescent="0.3">
      <c r="M87" s="24"/>
    </row>
    <row r="88" spans="13:13" x14ac:dyDescent="0.3">
      <c r="M88" s="24"/>
    </row>
    <row r="89" spans="13:13" x14ac:dyDescent="0.3">
      <c r="M89" s="24"/>
    </row>
    <row r="90" spans="13:13" x14ac:dyDescent="0.3">
      <c r="M90" s="24"/>
    </row>
    <row r="91" spans="13:13" x14ac:dyDescent="0.3">
      <c r="M91" s="24"/>
    </row>
    <row r="92" spans="13:13" x14ac:dyDescent="0.3">
      <c r="M92" s="24"/>
    </row>
    <row r="93" spans="13:13" x14ac:dyDescent="0.3">
      <c r="M93" s="24"/>
    </row>
    <row r="94" spans="13:13" x14ac:dyDescent="0.3">
      <c r="M94" s="24"/>
    </row>
    <row r="95" spans="13:13" x14ac:dyDescent="0.3">
      <c r="M95" s="24"/>
    </row>
    <row r="96" spans="13:13" x14ac:dyDescent="0.3">
      <c r="M96" s="24"/>
    </row>
    <row r="97" spans="13:13" x14ac:dyDescent="0.3">
      <c r="M97" s="24"/>
    </row>
    <row r="98" spans="13:13" x14ac:dyDescent="0.3">
      <c r="M98" s="24"/>
    </row>
    <row r="99" spans="13:13" x14ac:dyDescent="0.3">
      <c r="M99" s="24"/>
    </row>
    <row r="100" spans="13:13" x14ac:dyDescent="0.3">
      <c r="M100" s="24"/>
    </row>
    <row r="101" spans="13:13" x14ac:dyDescent="0.3">
      <c r="M101" s="24"/>
    </row>
    <row r="102" spans="13:13" x14ac:dyDescent="0.3">
      <c r="M102" s="24"/>
    </row>
    <row r="103" spans="13:13" x14ac:dyDescent="0.3">
      <c r="M103" s="24"/>
    </row>
    <row r="104" spans="13:13" x14ac:dyDescent="0.3">
      <c r="M104" s="24"/>
    </row>
    <row r="105" spans="13:13" x14ac:dyDescent="0.3">
      <c r="M105" s="24"/>
    </row>
    <row r="106" spans="13:13" x14ac:dyDescent="0.3">
      <c r="M106" s="24"/>
    </row>
    <row r="107" spans="13:13" x14ac:dyDescent="0.3">
      <c r="M107" s="24"/>
    </row>
    <row r="108" spans="13:13" x14ac:dyDescent="0.3">
      <c r="M108" s="24"/>
    </row>
    <row r="109" spans="13:13" x14ac:dyDescent="0.3">
      <c r="M109" s="24"/>
    </row>
    <row r="110" spans="13:13" x14ac:dyDescent="0.3">
      <c r="M110" s="24"/>
    </row>
    <row r="111" spans="13:13" x14ac:dyDescent="0.3">
      <c r="M111" s="24"/>
    </row>
    <row r="112" spans="13:13" x14ac:dyDescent="0.3">
      <c r="M112" s="24"/>
    </row>
    <row r="113" spans="13:13" x14ac:dyDescent="0.3">
      <c r="M113" s="24"/>
    </row>
    <row r="114" spans="13:13" x14ac:dyDescent="0.3">
      <c r="M114" s="24"/>
    </row>
    <row r="115" spans="13:13" x14ac:dyDescent="0.3">
      <c r="M115" s="24"/>
    </row>
    <row r="116" spans="13:13" x14ac:dyDescent="0.3">
      <c r="M116" s="24"/>
    </row>
    <row r="117" spans="13:13" x14ac:dyDescent="0.3">
      <c r="M117" s="24"/>
    </row>
    <row r="118" spans="13:13" x14ac:dyDescent="0.3">
      <c r="M118" s="24"/>
    </row>
    <row r="119" spans="13:13" x14ac:dyDescent="0.3">
      <c r="M119" s="24"/>
    </row>
    <row r="120" spans="13:13" x14ac:dyDescent="0.3">
      <c r="M120" s="24"/>
    </row>
    <row r="121" spans="13:13" x14ac:dyDescent="0.3">
      <c r="M121" s="24"/>
    </row>
    <row r="122" spans="13:13" x14ac:dyDescent="0.3">
      <c r="M122" s="24"/>
    </row>
    <row r="123" spans="13:13" x14ac:dyDescent="0.3">
      <c r="M123" s="24"/>
    </row>
    <row r="124" spans="13:13" x14ac:dyDescent="0.3">
      <c r="M124" s="24"/>
    </row>
    <row r="125" spans="13:13" x14ac:dyDescent="0.3">
      <c r="M125" s="24"/>
    </row>
    <row r="126" spans="13:13" x14ac:dyDescent="0.3">
      <c r="M126" s="24"/>
    </row>
    <row r="127" spans="13:13" x14ac:dyDescent="0.3">
      <c r="M127" s="24"/>
    </row>
    <row r="128" spans="13:13" x14ac:dyDescent="0.3">
      <c r="M128" s="24"/>
    </row>
    <row r="129" spans="13:13" x14ac:dyDescent="0.3">
      <c r="M129" s="24"/>
    </row>
    <row r="130" spans="13:13" x14ac:dyDescent="0.3">
      <c r="M130" s="24"/>
    </row>
    <row r="131" spans="13:13" x14ac:dyDescent="0.3">
      <c r="M131" s="24"/>
    </row>
    <row r="132" spans="13:13" x14ac:dyDescent="0.3">
      <c r="M132" s="24"/>
    </row>
    <row r="133" spans="13:13" x14ac:dyDescent="0.3">
      <c r="M133" s="24"/>
    </row>
    <row r="134" spans="13:13" x14ac:dyDescent="0.3">
      <c r="M134" s="24"/>
    </row>
    <row r="135" spans="13:13" x14ac:dyDescent="0.3">
      <c r="M135" s="24"/>
    </row>
    <row r="136" spans="13:13" x14ac:dyDescent="0.3">
      <c r="M136" s="24"/>
    </row>
    <row r="137" spans="13:13" x14ac:dyDescent="0.3">
      <c r="M137" s="24"/>
    </row>
    <row r="138" spans="13:13" x14ac:dyDescent="0.3">
      <c r="M138" s="24"/>
    </row>
    <row r="139" spans="13:13" x14ac:dyDescent="0.3">
      <c r="M139" s="24"/>
    </row>
    <row r="140" spans="13:13" x14ac:dyDescent="0.3">
      <c r="M140" s="24"/>
    </row>
    <row r="141" spans="13:13" x14ac:dyDescent="0.3">
      <c r="M141" s="24"/>
    </row>
    <row r="142" spans="13:13" x14ac:dyDescent="0.3">
      <c r="M142" s="24"/>
    </row>
    <row r="143" spans="13:13" x14ac:dyDescent="0.3">
      <c r="M143" s="24"/>
    </row>
    <row r="144" spans="13:13" x14ac:dyDescent="0.3">
      <c r="M144" s="24"/>
    </row>
    <row r="145" spans="13:13" x14ac:dyDescent="0.3">
      <c r="M145" s="24"/>
    </row>
    <row r="146" spans="13:13" x14ac:dyDescent="0.3">
      <c r="M146" s="24"/>
    </row>
    <row r="147" spans="13:13" x14ac:dyDescent="0.3">
      <c r="M147" s="24"/>
    </row>
    <row r="148" spans="13:13" x14ac:dyDescent="0.3">
      <c r="M148" s="24"/>
    </row>
    <row r="149" spans="13:13" x14ac:dyDescent="0.3">
      <c r="M149" s="24"/>
    </row>
    <row r="150" spans="13:13" x14ac:dyDescent="0.3">
      <c r="M150" s="24"/>
    </row>
    <row r="151" spans="13:13" x14ac:dyDescent="0.3">
      <c r="M151" s="24"/>
    </row>
    <row r="152" spans="13:13" x14ac:dyDescent="0.3">
      <c r="M152" s="24"/>
    </row>
    <row r="153" spans="13:13" x14ac:dyDescent="0.3">
      <c r="M153" s="24"/>
    </row>
    <row r="154" spans="13:13" x14ac:dyDescent="0.3">
      <c r="M154" s="24"/>
    </row>
    <row r="155" spans="13:13" x14ac:dyDescent="0.3">
      <c r="M155" s="24"/>
    </row>
    <row r="156" spans="13:13" x14ac:dyDescent="0.3">
      <c r="M156" s="24"/>
    </row>
    <row r="157" spans="13:13" x14ac:dyDescent="0.3">
      <c r="M157" s="24"/>
    </row>
    <row r="158" spans="13:13" x14ac:dyDescent="0.3">
      <c r="M158" s="24"/>
    </row>
    <row r="159" spans="13:13" x14ac:dyDescent="0.3">
      <c r="M159" s="24"/>
    </row>
    <row r="160" spans="13:13" x14ac:dyDescent="0.3">
      <c r="M160" s="24"/>
    </row>
    <row r="161" spans="13:13" x14ac:dyDescent="0.3">
      <c r="M161" s="24"/>
    </row>
    <row r="162" spans="13:13" x14ac:dyDescent="0.3">
      <c r="M162" s="24"/>
    </row>
    <row r="163" spans="13:13" x14ac:dyDescent="0.3">
      <c r="M163" s="24"/>
    </row>
    <row r="164" spans="13:13" x14ac:dyDescent="0.3">
      <c r="M164" s="24"/>
    </row>
    <row r="165" spans="13:13" x14ac:dyDescent="0.3">
      <c r="M165" s="24"/>
    </row>
    <row r="166" spans="13:13" x14ac:dyDescent="0.3">
      <c r="M166" s="24"/>
    </row>
    <row r="167" spans="13:13" x14ac:dyDescent="0.3">
      <c r="M167" s="24"/>
    </row>
    <row r="168" spans="13:13" x14ac:dyDescent="0.3">
      <c r="M168" s="24"/>
    </row>
    <row r="169" spans="13:13" x14ac:dyDescent="0.3">
      <c r="M169" s="24"/>
    </row>
    <row r="170" spans="13:13" x14ac:dyDescent="0.3">
      <c r="M170" s="24"/>
    </row>
    <row r="171" spans="13:13" x14ac:dyDescent="0.3">
      <c r="M171" s="24"/>
    </row>
    <row r="172" spans="13:13" x14ac:dyDescent="0.3">
      <c r="M172" s="24"/>
    </row>
    <row r="173" spans="13:13" x14ac:dyDescent="0.3">
      <c r="M173" s="24"/>
    </row>
    <row r="174" spans="13:13" x14ac:dyDescent="0.3">
      <c r="M174" s="24"/>
    </row>
    <row r="175" spans="13:13" x14ac:dyDescent="0.3">
      <c r="M175" s="24"/>
    </row>
    <row r="176" spans="13:13" x14ac:dyDescent="0.3">
      <c r="M176" s="24"/>
    </row>
    <row r="177" spans="13:13" x14ac:dyDescent="0.3">
      <c r="M177" s="24"/>
    </row>
    <row r="178" spans="13:13" x14ac:dyDescent="0.3">
      <c r="M178" s="24"/>
    </row>
    <row r="179" spans="13:13" x14ac:dyDescent="0.3">
      <c r="M179" s="24"/>
    </row>
    <row r="180" spans="13:13" x14ac:dyDescent="0.3">
      <c r="M180" s="24"/>
    </row>
    <row r="181" spans="13:13" x14ac:dyDescent="0.3">
      <c r="M181" s="24"/>
    </row>
    <row r="182" spans="13:13" x14ac:dyDescent="0.3">
      <c r="M182" s="24"/>
    </row>
    <row r="183" spans="13:13" x14ac:dyDescent="0.3">
      <c r="M183" s="24"/>
    </row>
    <row r="184" spans="13:13" x14ac:dyDescent="0.3">
      <c r="M184" s="24"/>
    </row>
    <row r="185" spans="13:13" x14ac:dyDescent="0.3">
      <c r="M185" s="24"/>
    </row>
    <row r="186" spans="13:13" x14ac:dyDescent="0.3">
      <c r="M186" s="24"/>
    </row>
    <row r="187" spans="13:13" x14ac:dyDescent="0.3">
      <c r="M187" s="24"/>
    </row>
    <row r="188" spans="13:13" x14ac:dyDescent="0.3">
      <c r="M188" s="24"/>
    </row>
    <row r="189" spans="13:13" x14ac:dyDescent="0.3">
      <c r="M189" s="24"/>
    </row>
    <row r="190" spans="13:13" x14ac:dyDescent="0.3">
      <c r="M190" s="24"/>
    </row>
    <row r="191" spans="13:13" x14ac:dyDescent="0.3">
      <c r="M191" s="24"/>
    </row>
    <row r="192" spans="13:13" x14ac:dyDescent="0.3">
      <c r="M192" s="24"/>
    </row>
    <row r="193" spans="13:13" x14ac:dyDescent="0.3">
      <c r="M193" s="24"/>
    </row>
    <row r="194" spans="13:13" x14ac:dyDescent="0.3">
      <c r="M194" s="24"/>
    </row>
    <row r="195" spans="13:13" x14ac:dyDescent="0.3">
      <c r="M195" s="24"/>
    </row>
    <row r="196" spans="13:13" x14ac:dyDescent="0.3">
      <c r="M196" s="24"/>
    </row>
    <row r="197" spans="13:13" x14ac:dyDescent="0.3">
      <c r="M197" s="24"/>
    </row>
    <row r="198" spans="13:13" x14ac:dyDescent="0.3">
      <c r="M198" s="24"/>
    </row>
    <row r="199" spans="13:13" x14ac:dyDescent="0.3">
      <c r="M199" s="24"/>
    </row>
    <row r="200" spans="13:13" x14ac:dyDescent="0.3">
      <c r="M200" s="24"/>
    </row>
    <row r="201" spans="13:13" x14ac:dyDescent="0.3">
      <c r="M201" s="24"/>
    </row>
    <row r="202" spans="13:13" x14ac:dyDescent="0.3">
      <c r="M202" s="24"/>
    </row>
    <row r="203" spans="13:13" x14ac:dyDescent="0.3">
      <c r="M203" s="24"/>
    </row>
    <row r="204" spans="13:13" x14ac:dyDescent="0.3">
      <c r="M204" s="24"/>
    </row>
    <row r="205" spans="13:13" x14ac:dyDescent="0.3">
      <c r="M205" s="24"/>
    </row>
    <row r="206" spans="13:13" x14ac:dyDescent="0.3">
      <c r="M206" s="24"/>
    </row>
    <row r="207" spans="13:13" x14ac:dyDescent="0.3">
      <c r="M207" s="24"/>
    </row>
    <row r="208" spans="13:13" x14ac:dyDescent="0.3">
      <c r="M208" s="24"/>
    </row>
    <row r="209" spans="13:13" x14ac:dyDescent="0.3">
      <c r="M209" s="24"/>
    </row>
    <row r="210" spans="13:13" x14ac:dyDescent="0.3">
      <c r="M210" s="24"/>
    </row>
    <row r="211" spans="13:13" x14ac:dyDescent="0.3">
      <c r="M211" s="24"/>
    </row>
    <row r="212" spans="13:13" x14ac:dyDescent="0.3">
      <c r="M212" s="24"/>
    </row>
    <row r="213" spans="13:13" x14ac:dyDescent="0.3">
      <c r="M213" s="24"/>
    </row>
    <row r="214" spans="13:13" x14ac:dyDescent="0.3">
      <c r="M214" s="24"/>
    </row>
    <row r="215" spans="13:13" x14ac:dyDescent="0.3">
      <c r="M215" s="24"/>
    </row>
    <row r="216" spans="13:13" x14ac:dyDescent="0.3">
      <c r="M216" s="24"/>
    </row>
    <row r="217" spans="13:13" x14ac:dyDescent="0.3">
      <c r="M217" s="24"/>
    </row>
    <row r="218" spans="13:13" x14ac:dyDescent="0.3">
      <c r="M218" s="24"/>
    </row>
    <row r="219" spans="13:13" x14ac:dyDescent="0.3">
      <c r="M219" s="24"/>
    </row>
    <row r="220" spans="13:13" x14ac:dyDescent="0.3">
      <c r="M220" s="24"/>
    </row>
    <row r="221" spans="13:13" x14ac:dyDescent="0.3">
      <c r="M221" s="24"/>
    </row>
    <row r="222" spans="13:13" x14ac:dyDescent="0.3">
      <c r="M222" s="24"/>
    </row>
    <row r="223" spans="13:13" x14ac:dyDescent="0.3">
      <c r="M223" s="24"/>
    </row>
    <row r="224" spans="13:13" x14ac:dyDescent="0.3">
      <c r="M224" s="24"/>
    </row>
    <row r="225" spans="13:13" x14ac:dyDescent="0.3">
      <c r="M225" s="24"/>
    </row>
    <row r="226" spans="13:13" x14ac:dyDescent="0.3">
      <c r="M226" s="24"/>
    </row>
    <row r="227" spans="13:13" x14ac:dyDescent="0.3">
      <c r="M227" s="24"/>
    </row>
    <row r="228" spans="13:13" x14ac:dyDescent="0.3">
      <c r="M228" s="24"/>
    </row>
    <row r="229" spans="13:13" x14ac:dyDescent="0.3">
      <c r="M229" s="24"/>
    </row>
    <row r="230" spans="13:13" x14ac:dyDescent="0.3">
      <c r="M230" s="24"/>
    </row>
    <row r="231" spans="13:13" x14ac:dyDescent="0.3">
      <c r="M231" s="24"/>
    </row>
    <row r="232" spans="13:13" x14ac:dyDescent="0.3">
      <c r="M232" s="24"/>
    </row>
    <row r="233" spans="13:13" x14ac:dyDescent="0.3">
      <c r="M233" s="24"/>
    </row>
    <row r="234" spans="13:13" x14ac:dyDescent="0.3">
      <c r="M234" s="24"/>
    </row>
    <row r="235" spans="13:13" x14ac:dyDescent="0.3">
      <c r="M235" s="24"/>
    </row>
    <row r="236" spans="13:13" x14ac:dyDescent="0.3">
      <c r="M236" s="24"/>
    </row>
    <row r="237" spans="13:13" x14ac:dyDescent="0.3">
      <c r="M237" s="24"/>
    </row>
    <row r="238" spans="13:13" x14ac:dyDescent="0.3">
      <c r="M238" s="24"/>
    </row>
    <row r="239" spans="13:13" x14ac:dyDescent="0.3">
      <c r="M239" s="24"/>
    </row>
    <row r="240" spans="13:13" x14ac:dyDescent="0.3">
      <c r="M240" s="24"/>
    </row>
    <row r="241" spans="13:13" x14ac:dyDescent="0.3">
      <c r="M241" s="24"/>
    </row>
    <row r="242" spans="13:13" x14ac:dyDescent="0.3">
      <c r="M242" s="24"/>
    </row>
    <row r="243" spans="13:13" x14ac:dyDescent="0.3">
      <c r="M243" s="24"/>
    </row>
    <row r="244" spans="13:13" x14ac:dyDescent="0.3">
      <c r="M244" s="24"/>
    </row>
    <row r="245" spans="13:13" x14ac:dyDescent="0.3">
      <c r="M245" s="24"/>
    </row>
    <row r="246" spans="13:13" x14ac:dyDescent="0.3">
      <c r="M246" s="24"/>
    </row>
    <row r="247" spans="13:13" x14ac:dyDescent="0.3">
      <c r="M247" s="24"/>
    </row>
    <row r="248" spans="13:13" x14ac:dyDescent="0.3">
      <c r="M248" s="24"/>
    </row>
    <row r="249" spans="13:13" x14ac:dyDescent="0.3">
      <c r="M249" s="24"/>
    </row>
    <row r="250" spans="13:13" x14ac:dyDescent="0.3">
      <c r="M250" s="24"/>
    </row>
    <row r="251" spans="13:13" x14ac:dyDescent="0.3">
      <c r="M251" s="24"/>
    </row>
    <row r="252" spans="13:13" x14ac:dyDescent="0.3">
      <c r="M252" s="24"/>
    </row>
    <row r="253" spans="13:13" x14ac:dyDescent="0.3">
      <c r="M253" s="24"/>
    </row>
    <row r="254" spans="13:13" x14ac:dyDescent="0.3">
      <c r="M254" s="24"/>
    </row>
    <row r="255" spans="13:13" x14ac:dyDescent="0.3">
      <c r="M255" s="24"/>
    </row>
    <row r="256" spans="13:13" x14ac:dyDescent="0.3">
      <c r="M256" s="24"/>
    </row>
    <row r="257" spans="13:13" x14ac:dyDescent="0.3">
      <c r="M257" s="24"/>
    </row>
    <row r="258" spans="13:13" x14ac:dyDescent="0.3">
      <c r="M258" s="24"/>
    </row>
    <row r="259" spans="13:13" x14ac:dyDescent="0.3">
      <c r="M259" s="24"/>
    </row>
    <row r="260" spans="13:13" x14ac:dyDescent="0.3">
      <c r="M260" s="24"/>
    </row>
    <row r="261" spans="13:13" x14ac:dyDescent="0.3">
      <c r="M261" s="24"/>
    </row>
    <row r="262" spans="13:13" x14ac:dyDescent="0.3">
      <c r="M262" s="24"/>
    </row>
    <row r="263" spans="13:13" x14ac:dyDescent="0.3">
      <c r="M263" s="24"/>
    </row>
    <row r="264" spans="13:13" x14ac:dyDescent="0.3">
      <c r="M264" s="24"/>
    </row>
    <row r="265" spans="13:13" x14ac:dyDescent="0.3">
      <c r="M265" s="24"/>
    </row>
    <row r="266" spans="13:13" x14ac:dyDescent="0.3">
      <c r="M266" s="24"/>
    </row>
    <row r="267" spans="13:13" x14ac:dyDescent="0.3">
      <c r="M267" s="24"/>
    </row>
    <row r="268" spans="13:13" x14ac:dyDescent="0.3">
      <c r="M268" s="24"/>
    </row>
    <row r="269" spans="13:13" x14ac:dyDescent="0.3">
      <c r="M269" s="24"/>
    </row>
    <row r="270" spans="13:13" x14ac:dyDescent="0.3">
      <c r="M270" s="24"/>
    </row>
    <row r="271" spans="13:13" x14ac:dyDescent="0.3">
      <c r="M271" s="24"/>
    </row>
    <row r="272" spans="13:13" x14ac:dyDescent="0.3">
      <c r="M272" s="24"/>
    </row>
    <row r="273" spans="13:13" x14ac:dyDescent="0.3">
      <c r="M273" s="24"/>
    </row>
    <row r="274" spans="13:13" x14ac:dyDescent="0.3">
      <c r="M274" s="24"/>
    </row>
    <row r="275" spans="13:13" x14ac:dyDescent="0.3">
      <c r="M275" s="24"/>
    </row>
    <row r="276" spans="13:13" x14ac:dyDescent="0.3">
      <c r="M276" s="24"/>
    </row>
    <row r="277" spans="13:13" x14ac:dyDescent="0.3">
      <c r="M277" s="24"/>
    </row>
    <row r="278" spans="13:13" x14ac:dyDescent="0.3">
      <c r="M278" s="24"/>
    </row>
    <row r="279" spans="13:13" x14ac:dyDescent="0.3">
      <c r="M279" s="24"/>
    </row>
    <row r="280" spans="13:13" x14ac:dyDescent="0.3">
      <c r="M280" s="24"/>
    </row>
    <row r="281" spans="13:13" x14ac:dyDescent="0.3">
      <c r="M281" s="24"/>
    </row>
    <row r="282" spans="13:13" x14ac:dyDescent="0.3">
      <c r="M282" s="24"/>
    </row>
    <row r="283" spans="13:13" x14ac:dyDescent="0.3">
      <c r="M283" s="24"/>
    </row>
    <row r="284" spans="13:13" x14ac:dyDescent="0.3">
      <c r="M284" s="24"/>
    </row>
    <row r="285" spans="13:13" x14ac:dyDescent="0.3">
      <c r="M285" s="24"/>
    </row>
    <row r="286" spans="13:13" x14ac:dyDescent="0.3">
      <c r="M286" s="24"/>
    </row>
    <row r="287" spans="13:13" x14ac:dyDescent="0.3">
      <c r="M287" s="24"/>
    </row>
    <row r="288" spans="13:13" x14ac:dyDescent="0.3">
      <c r="M288" s="24"/>
    </row>
    <row r="289" spans="13:13" x14ac:dyDescent="0.3">
      <c r="M289" s="24"/>
    </row>
    <row r="290" spans="13:13" x14ac:dyDescent="0.3">
      <c r="M290" s="24"/>
    </row>
    <row r="291" spans="13:13" x14ac:dyDescent="0.3">
      <c r="M291" s="24"/>
    </row>
    <row r="292" spans="13:13" x14ac:dyDescent="0.3">
      <c r="M292" s="24"/>
    </row>
    <row r="293" spans="13:13" x14ac:dyDescent="0.3">
      <c r="M293" s="24"/>
    </row>
    <row r="294" spans="13:13" x14ac:dyDescent="0.3">
      <c r="M294" s="24"/>
    </row>
    <row r="295" spans="13:13" x14ac:dyDescent="0.3">
      <c r="M295" s="24"/>
    </row>
    <row r="296" spans="13:13" x14ac:dyDescent="0.3">
      <c r="M296" s="24"/>
    </row>
    <row r="297" spans="13:13" x14ac:dyDescent="0.3">
      <c r="M297" s="24"/>
    </row>
    <row r="298" spans="13:13" x14ac:dyDescent="0.3">
      <c r="M298" s="24"/>
    </row>
    <row r="299" spans="13:13" x14ac:dyDescent="0.3">
      <c r="M299" s="24"/>
    </row>
    <row r="300" spans="13:13" x14ac:dyDescent="0.3">
      <c r="M300" s="24"/>
    </row>
    <row r="301" spans="13:13" x14ac:dyDescent="0.3">
      <c r="M301" s="24"/>
    </row>
    <row r="302" spans="13:13" x14ac:dyDescent="0.3">
      <c r="M302" s="24"/>
    </row>
    <row r="303" spans="13:13" x14ac:dyDescent="0.3">
      <c r="M303" s="24"/>
    </row>
    <row r="304" spans="13:13" x14ac:dyDescent="0.3">
      <c r="M304" s="24"/>
    </row>
    <row r="305" spans="13:13" x14ac:dyDescent="0.3">
      <c r="M305" s="24"/>
    </row>
    <row r="306" spans="13:13" x14ac:dyDescent="0.3">
      <c r="M306" s="24"/>
    </row>
    <row r="307" spans="13:13" x14ac:dyDescent="0.3">
      <c r="M307" s="24"/>
    </row>
    <row r="308" spans="13:13" x14ac:dyDescent="0.3">
      <c r="M308" s="24"/>
    </row>
    <row r="309" spans="13:13" x14ac:dyDescent="0.3">
      <c r="M309" s="24"/>
    </row>
    <row r="310" spans="13:13" x14ac:dyDescent="0.3">
      <c r="M310" s="24"/>
    </row>
    <row r="311" spans="13:13" x14ac:dyDescent="0.3">
      <c r="M311" s="24"/>
    </row>
    <row r="312" spans="13:13" x14ac:dyDescent="0.3">
      <c r="M312" s="24"/>
    </row>
    <row r="313" spans="13:13" x14ac:dyDescent="0.3">
      <c r="M313" s="24"/>
    </row>
    <row r="314" spans="13:13" x14ac:dyDescent="0.3">
      <c r="M314" s="24"/>
    </row>
    <row r="315" spans="13:13" x14ac:dyDescent="0.3">
      <c r="M315" s="24"/>
    </row>
    <row r="316" spans="13:13" x14ac:dyDescent="0.3">
      <c r="M316" s="24"/>
    </row>
    <row r="317" spans="13:13" x14ac:dyDescent="0.3">
      <c r="M317" s="24"/>
    </row>
    <row r="318" spans="13:13" x14ac:dyDescent="0.3">
      <c r="M318" s="24"/>
    </row>
    <row r="319" spans="13:13" x14ac:dyDescent="0.3">
      <c r="M319" s="24"/>
    </row>
    <row r="320" spans="13:13" x14ac:dyDescent="0.3">
      <c r="M320" s="24"/>
    </row>
    <row r="321" spans="13:13" x14ac:dyDescent="0.3">
      <c r="M321" s="24"/>
    </row>
    <row r="322" spans="13:13" x14ac:dyDescent="0.3">
      <c r="M322" s="24"/>
    </row>
    <row r="323" spans="13:13" x14ac:dyDescent="0.3">
      <c r="M323" s="24"/>
    </row>
    <row r="324" spans="13:13" x14ac:dyDescent="0.3">
      <c r="M324" s="24"/>
    </row>
    <row r="325" spans="13:13" x14ac:dyDescent="0.3">
      <c r="M325" s="24"/>
    </row>
    <row r="326" spans="13:13" x14ac:dyDescent="0.3">
      <c r="M326" s="24"/>
    </row>
    <row r="327" spans="13:13" x14ac:dyDescent="0.3">
      <c r="M327" s="24"/>
    </row>
    <row r="328" spans="13:13" x14ac:dyDescent="0.3">
      <c r="M328" s="24"/>
    </row>
    <row r="329" spans="13:13" x14ac:dyDescent="0.3">
      <c r="M329" s="24"/>
    </row>
    <row r="330" spans="13:13" x14ac:dyDescent="0.3">
      <c r="M330" s="24"/>
    </row>
    <row r="331" spans="13:13" x14ac:dyDescent="0.3">
      <c r="M331" s="24"/>
    </row>
    <row r="332" spans="13:13" x14ac:dyDescent="0.3">
      <c r="M332" s="24"/>
    </row>
    <row r="333" spans="13:13" x14ac:dyDescent="0.3">
      <c r="M333" s="24"/>
    </row>
    <row r="334" spans="13:13" x14ac:dyDescent="0.3">
      <c r="M334" s="24"/>
    </row>
    <row r="335" spans="13:13" x14ac:dyDescent="0.3">
      <c r="M335" s="24"/>
    </row>
    <row r="336" spans="13:13" x14ac:dyDescent="0.3">
      <c r="M336" s="24"/>
    </row>
    <row r="337" spans="13:13" x14ac:dyDescent="0.3">
      <c r="M337" s="24"/>
    </row>
    <row r="338" spans="13:13" x14ac:dyDescent="0.3">
      <c r="M338" s="24"/>
    </row>
    <row r="339" spans="13:13" x14ac:dyDescent="0.3">
      <c r="M339" s="24"/>
    </row>
    <row r="340" spans="13:13" x14ac:dyDescent="0.3">
      <c r="M340" s="24"/>
    </row>
    <row r="341" spans="13:13" x14ac:dyDescent="0.3">
      <c r="M341" s="24"/>
    </row>
    <row r="342" spans="13:13" x14ac:dyDescent="0.3">
      <c r="M342" s="24"/>
    </row>
    <row r="343" spans="13:13" x14ac:dyDescent="0.3">
      <c r="M343" s="24"/>
    </row>
    <row r="344" spans="13:13" x14ac:dyDescent="0.3">
      <c r="M344" s="24"/>
    </row>
    <row r="345" spans="13:13" x14ac:dyDescent="0.3">
      <c r="M345" s="24"/>
    </row>
    <row r="346" spans="13:13" x14ac:dyDescent="0.3">
      <c r="M346" s="24"/>
    </row>
    <row r="347" spans="13:13" x14ac:dyDescent="0.3">
      <c r="M347" s="24"/>
    </row>
    <row r="348" spans="13:13" x14ac:dyDescent="0.3">
      <c r="M348" s="24"/>
    </row>
    <row r="349" spans="13:13" x14ac:dyDescent="0.3">
      <c r="M349" s="24"/>
    </row>
    <row r="350" spans="13:13" x14ac:dyDescent="0.3">
      <c r="M350" s="24"/>
    </row>
    <row r="351" spans="13:13" x14ac:dyDescent="0.3">
      <c r="M351" s="24"/>
    </row>
    <row r="352" spans="13:13" x14ac:dyDescent="0.3">
      <c r="M352" s="24"/>
    </row>
    <row r="353" spans="13:13" x14ac:dyDescent="0.3">
      <c r="M353" s="24"/>
    </row>
    <row r="354" spans="13:13" x14ac:dyDescent="0.3">
      <c r="M354" s="24"/>
    </row>
    <row r="355" spans="13:13" x14ac:dyDescent="0.3">
      <c r="M355" s="24"/>
    </row>
    <row r="356" spans="13:13" x14ac:dyDescent="0.3">
      <c r="M356" s="24"/>
    </row>
    <row r="357" spans="13:13" x14ac:dyDescent="0.3">
      <c r="M357" s="24"/>
    </row>
    <row r="358" spans="13:13" x14ac:dyDescent="0.3">
      <c r="M358" s="24"/>
    </row>
    <row r="359" spans="13:13" x14ac:dyDescent="0.3">
      <c r="M359" s="24"/>
    </row>
    <row r="360" spans="13:13" x14ac:dyDescent="0.3">
      <c r="M360" s="24"/>
    </row>
    <row r="361" spans="13:13" x14ac:dyDescent="0.3">
      <c r="M361" s="24"/>
    </row>
    <row r="362" spans="13:13" x14ac:dyDescent="0.3">
      <c r="M362" s="24"/>
    </row>
    <row r="363" spans="13:13" x14ac:dyDescent="0.3">
      <c r="M363" s="24"/>
    </row>
    <row r="364" spans="13:13" x14ac:dyDescent="0.3">
      <c r="M364" s="24"/>
    </row>
    <row r="365" spans="13:13" x14ac:dyDescent="0.3">
      <c r="M365" s="24"/>
    </row>
    <row r="366" spans="13:13" x14ac:dyDescent="0.3">
      <c r="M366" s="24"/>
    </row>
    <row r="367" spans="13:13" x14ac:dyDescent="0.3">
      <c r="M367" s="24"/>
    </row>
    <row r="368" spans="13:13" x14ac:dyDescent="0.3">
      <c r="M368" s="24"/>
    </row>
    <row r="369" spans="13:13" x14ac:dyDescent="0.3">
      <c r="M369" s="24"/>
    </row>
    <row r="370" spans="13:13" x14ac:dyDescent="0.3">
      <c r="M370" s="24"/>
    </row>
    <row r="371" spans="13:13" x14ac:dyDescent="0.3">
      <c r="M371" s="24"/>
    </row>
    <row r="372" spans="13:13" x14ac:dyDescent="0.3">
      <c r="M372" s="24"/>
    </row>
    <row r="373" spans="13:13" x14ac:dyDescent="0.3">
      <c r="M373" s="24"/>
    </row>
    <row r="374" spans="13:13" x14ac:dyDescent="0.3">
      <c r="M374" s="24"/>
    </row>
    <row r="375" spans="13:13" x14ac:dyDescent="0.3">
      <c r="M375" s="24"/>
    </row>
    <row r="376" spans="13:13" x14ac:dyDescent="0.3">
      <c r="M376" s="24"/>
    </row>
    <row r="377" spans="13:13" x14ac:dyDescent="0.3">
      <c r="M377" s="24"/>
    </row>
    <row r="378" spans="13:13" x14ac:dyDescent="0.3">
      <c r="M378" s="24"/>
    </row>
    <row r="379" spans="13:13" x14ac:dyDescent="0.3">
      <c r="M379" s="24"/>
    </row>
    <row r="380" spans="13:13" x14ac:dyDescent="0.3">
      <c r="M380" s="24"/>
    </row>
    <row r="381" spans="13:13" x14ac:dyDescent="0.3">
      <c r="M381" s="24"/>
    </row>
    <row r="382" spans="13:13" x14ac:dyDescent="0.3">
      <c r="M382" s="24"/>
    </row>
    <row r="383" spans="13:13" x14ac:dyDescent="0.3">
      <c r="M383" s="24"/>
    </row>
    <row r="384" spans="13:13" x14ac:dyDescent="0.3">
      <c r="M384" s="24"/>
    </row>
    <row r="385" spans="13:13" x14ac:dyDescent="0.3">
      <c r="M385" s="24"/>
    </row>
    <row r="386" spans="13:13" x14ac:dyDescent="0.3">
      <c r="M386" s="24"/>
    </row>
    <row r="387" spans="13:13" x14ac:dyDescent="0.3">
      <c r="M387" s="24"/>
    </row>
    <row r="388" spans="13:13" x14ac:dyDescent="0.3">
      <c r="M388" s="24"/>
    </row>
    <row r="389" spans="13:13" x14ac:dyDescent="0.3">
      <c r="M389" s="24"/>
    </row>
    <row r="390" spans="13:13" x14ac:dyDescent="0.3">
      <c r="M390" s="24"/>
    </row>
    <row r="391" spans="13:13" x14ac:dyDescent="0.3">
      <c r="M391" s="24"/>
    </row>
    <row r="392" spans="13:13" x14ac:dyDescent="0.3">
      <c r="M392" s="24"/>
    </row>
    <row r="393" spans="13:13" x14ac:dyDescent="0.3">
      <c r="M393" s="24"/>
    </row>
    <row r="394" spans="13:13" x14ac:dyDescent="0.3">
      <c r="M394" s="24"/>
    </row>
    <row r="395" spans="13:13" x14ac:dyDescent="0.3">
      <c r="M395" s="24"/>
    </row>
    <row r="396" spans="13:13" x14ac:dyDescent="0.3">
      <c r="M396" s="24"/>
    </row>
    <row r="397" spans="13:13" x14ac:dyDescent="0.3">
      <c r="M397" s="24"/>
    </row>
    <row r="398" spans="13:13" x14ac:dyDescent="0.3">
      <c r="M398" s="24"/>
    </row>
    <row r="399" spans="13:13" x14ac:dyDescent="0.3">
      <c r="M399" s="24"/>
    </row>
    <row r="400" spans="13:13" x14ac:dyDescent="0.3">
      <c r="M400" s="24"/>
    </row>
    <row r="401" spans="13:13" x14ac:dyDescent="0.3">
      <c r="M401" s="24"/>
    </row>
    <row r="402" spans="13:13" x14ac:dyDescent="0.3">
      <c r="M402" s="24"/>
    </row>
    <row r="403" spans="13:13" x14ac:dyDescent="0.3">
      <c r="M403" s="24"/>
    </row>
    <row r="404" spans="13:13" x14ac:dyDescent="0.3">
      <c r="M404" s="24"/>
    </row>
    <row r="405" spans="13:13" x14ac:dyDescent="0.3">
      <c r="M405" s="24"/>
    </row>
    <row r="406" spans="13:13" x14ac:dyDescent="0.3">
      <c r="M406" s="24"/>
    </row>
    <row r="407" spans="13:13" x14ac:dyDescent="0.3">
      <c r="M407" s="24"/>
    </row>
    <row r="408" spans="13:13" x14ac:dyDescent="0.3">
      <c r="M408" s="24"/>
    </row>
    <row r="409" spans="13:13" x14ac:dyDescent="0.3">
      <c r="M409" s="24"/>
    </row>
    <row r="410" spans="13:13" x14ac:dyDescent="0.3">
      <c r="M410" s="24"/>
    </row>
    <row r="411" spans="13:13" x14ac:dyDescent="0.3">
      <c r="M411" s="24"/>
    </row>
    <row r="412" spans="13:13" x14ac:dyDescent="0.3">
      <c r="M412" s="24"/>
    </row>
    <row r="413" spans="13:13" x14ac:dyDescent="0.3">
      <c r="M413" s="24"/>
    </row>
    <row r="414" spans="13:13" x14ac:dyDescent="0.3">
      <c r="M414" s="24"/>
    </row>
    <row r="415" spans="13:13" x14ac:dyDescent="0.3">
      <c r="M415" s="24"/>
    </row>
    <row r="416" spans="13:13" x14ac:dyDescent="0.3">
      <c r="M416" s="24"/>
    </row>
    <row r="417" spans="13:13" x14ac:dyDescent="0.3">
      <c r="M417" s="24"/>
    </row>
    <row r="418" spans="13:13" x14ac:dyDescent="0.3">
      <c r="M418" s="24"/>
    </row>
    <row r="419" spans="13:13" x14ac:dyDescent="0.3">
      <c r="M419" s="24"/>
    </row>
    <row r="420" spans="13:13" x14ac:dyDescent="0.3">
      <c r="M420" s="24"/>
    </row>
    <row r="421" spans="13:13" x14ac:dyDescent="0.3">
      <c r="M421" s="24"/>
    </row>
    <row r="422" spans="13:13" x14ac:dyDescent="0.3">
      <c r="M422" s="24"/>
    </row>
    <row r="423" spans="13:13" x14ac:dyDescent="0.3">
      <c r="M423" s="24"/>
    </row>
    <row r="424" spans="13:13" x14ac:dyDescent="0.3">
      <c r="M424" s="24"/>
    </row>
    <row r="425" spans="13:13" x14ac:dyDescent="0.3">
      <c r="M425" s="24"/>
    </row>
    <row r="426" spans="13:13" x14ac:dyDescent="0.3">
      <c r="M426" s="24"/>
    </row>
    <row r="427" spans="13:13" x14ac:dyDescent="0.3">
      <c r="M427" s="24"/>
    </row>
    <row r="428" spans="13:13" x14ac:dyDescent="0.3">
      <c r="M428" s="24"/>
    </row>
    <row r="429" spans="13:13" x14ac:dyDescent="0.3">
      <c r="M429" s="24"/>
    </row>
    <row r="430" spans="13:13" x14ac:dyDescent="0.3">
      <c r="M430" s="24"/>
    </row>
    <row r="431" spans="13:13" x14ac:dyDescent="0.3">
      <c r="M431" s="24"/>
    </row>
    <row r="432" spans="13:13" x14ac:dyDescent="0.3">
      <c r="M432" s="24"/>
    </row>
    <row r="433" spans="13:13" x14ac:dyDescent="0.3">
      <c r="M433" s="24"/>
    </row>
    <row r="434" spans="13:13" x14ac:dyDescent="0.3">
      <c r="M434" s="24"/>
    </row>
    <row r="435" spans="13:13" x14ac:dyDescent="0.3">
      <c r="M435" s="24"/>
    </row>
    <row r="436" spans="13:13" x14ac:dyDescent="0.3">
      <c r="M436" s="24"/>
    </row>
    <row r="437" spans="13:13" x14ac:dyDescent="0.3">
      <c r="M437" s="24"/>
    </row>
    <row r="438" spans="13:13" x14ac:dyDescent="0.3">
      <c r="M438" s="24"/>
    </row>
    <row r="439" spans="13:13" x14ac:dyDescent="0.3">
      <c r="M439" s="24"/>
    </row>
    <row r="440" spans="13:13" x14ac:dyDescent="0.3">
      <c r="M440" s="24"/>
    </row>
    <row r="441" spans="13:13" x14ac:dyDescent="0.3">
      <c r="M441" s="24"/>
    </row>
    <row r="442" spans="13:13" x14ac:dyDescent="0.3">
      <c r="M442" s="24"/>
    </row>
    <row r="443" spans="13:13" x14ac:dyDescent="0.3">
      <c r="M443" s="24"/>
    </row>
    <row r="444" spans="13:13" x14ac:dyDescent="0.3">
      <c r="M444" s="24"/>
    </row>
    <row r="445" spans="13:13" x14ac:dyDescent="0.3">
      <c r="M445" s="24"/>
    </row>
    <row r="446" spans="13:13" x14ac:dyDescent="0.3">
      <c r="M446" s="24"/>
    </row>
    <row r="447" spans="13:13" x14ac:dyDescent="0.3">
      <c r="M447" s="24"/>
    </row>
    <row r="448" spans="13:13" x14ac:dyDescent="0.3">
      <c r="M448" s="24"/>
    </row>
    <row r="449" spans="13:13" x14ac:dyDescent="0.3">
      <c r="M449" s="24"/>
    </row>
    <row r="450" spans="13:13" x14ac:dyDescent="0.3">
      <c r="M450" s="24"/>
    </row>
    <row r="451" spans="13:13" x14ac:dyDescent="0.3">
      <c r="M451" s="24"/>
    </row>
    <row r="452" spans="13:13" x14ac:dyDescent="0.3">
      <c r="M452" s="24"/>
    </row>
    <row r="453" spans="13:13" x14ac:dyDescent="0.3">
      <c r="M453" s="24"/>
    </row>
    <row r="454" spans="13:13" x14ac:dyDescent="0.3">
      <c r="M454" s="24"/>
    </row>
    <row r="455" spans="13:13" x14ac:dyDescent="0.3">
      <c r="M455" s="24"/>
    </row>
    <row r="456" spans="13:13" x14ac:dyDescent="0.3">
      <c r="M456" s="24"/>
    </row>
    <row r="457" spans="13:13" x14ac:dyDescent="0.3">
      <c r="M457" s="24"/>
    </row>
    <row r="458" spans="13:13" x14ac:dyDescent="0.3">
      <c r="M458" s="24"/>
    </row>
    <row r="459" spans="13:13" x14ac:dyDescent="0.3">
      <c r="M459" s="24"/>
    </row>
    <row r="460" spans="13:13" x14ac:dyDescent="0.3">
      <c r="M460" s="24"/>
    </row>
    <row r="461" spans="13:13" x14ac:dyDescent="0.3">
      <c r="M461" s="24"/>
    </row>
    <row r="462" spans="13:13" x14ac:dyDescent="0.3">
      <c r="M462" s="24"/>
    </row>
    <row r="463" spans="13:13" x14ac:dyDescent="0.3">
      <c r="M463" s="24"/>
    </row>
    <row r="464" spans="13:13" x14ac:dyDescent="0.3">
      <c r="M464" s="24"/>
    </row>
    <row r="465" spans="13:13" x14ac:dyDescent="0.3">
      <c r="M465" s="24"/>
    </row>
    <row r="466" spans="13:13" x14ac:dyDescent="0.3">
      <c r="M466" s="24"/>
    </row>
    <row r="467" spans="13:13" x14ac:dyDescent="0.3">
      <c r="M467" s="24"/>
    </row>
    <row r="468" spans="13:13" x14ac:dyDescent="0.3">
      <c r="M468" s="24"/>
    </row>
    <row r="469" spans="13:13" x14ac:dyDescent="0.3">
      <c r="M469" s="24"/>
    </row>
    <row r="470" spans="13:13" x14ac:dyDescent="0.3">
      <c r="M470" s="24"/>
    </row>
    <row r="471" spans="13:13" x14ac:dyDescent="0.3">
      <c r="M471" s="24"/>
    </row>
    <row r="472" spans="13:13" x14ac:dyDescent="0.3">
      <c r="M472" s="24"/>
    </row>
    <row r="473" spans="13:13" x14ac:dyDescent="0.3">
      <c r="M473" s="24"/>
    </row>
    <row r="474" spans="13:13" x14ac:dyDescent="0.3">
      <c r="M474" s="24"/>
    </row>
    <row r="475" spans="13:13" x14ac:dyDescent="0.3">
      <c r="M475" s="24"/>
    </row>
    <row r="476" spans="13:13" x14ac:dyDescent="0.3">
      <c r="M476" s="24"/>
    </row>
    <row r="477" spans="13:13" x14ac:dyDescent="0.3">
      <c r="M477" s="24"/>
    </row>
    <row r="478" spans="13:13" x14ac:dyDescent="0.3">
      <c r="M478" s="24"/>
    </row>
    <row r="479" spans="13:13" x14ac:dyDescent="0.3">
      <c r="M479" s="24"/>
    </row>
    <row r="480" spans="13:13" x14ac:dyDescent="0.3">
      <c r="M480" s="24"/>
    </row>
    <row r="481" spans="13:13" x14ac:dyDescent="0.3">
      <c r="M481" s="24"/>
    </row>
    <row r="482" spans="13:13" x14ac:dyDescent="0.3">
      <c r="M482" s="24"/>
    </row>
    <row r="483" spans="13:13" x14ac:dyDescent="0.3">
      <c r="M483" s="24"/>
    </row>
    <row r="484" spans="13:13" x14ac:dyDescent="0.3">
      <c r="M484" s="24"/>
    </row>
    <row r="485" spans="13:13" x14ac:dyDescent="0.3">
      <c r="M485" s="24"/>
    </row>
    <row r="486" spans="13:13" x14ac:dyDescent="0.3">
      <c r="M486" s="24"/>
    </row>
    <row r="487" spans="13:13" x14ac:dyDescent="0.3">
      <c r="M487" s="24"/>
    </row>
    <row r="488" spans="13:13" x14ac:dyDescent="0.3">
      <c r="M488" s="24"/>
    </row>
    <row r="489" spans="13:13" x14ac:dyDescent="0.3">
      <c r="M489" s="24"/>
    </row>
    <row r="490" spans="13:13" x14ac:dyDescent="0.3">
      <c r="M490" s="24"/>
    </row>
    <row r="491" spans="13:13" x14ac:dyDescent="0.3">
      <c r="M491" s="24"/>
    </row>
    <row r="492" spans="13:13" x14ac:dyDescent="0.3">
      <c r="M492" s="24"/>
    </row>
    <row r="493" spans="13:13" x14ac:dyDescent="0.3">
      <c r="M493" s="24"/>
    </row>
    <row r="494" spans="13:13" x14ac:dyDescent="0.3">
      <c r="M494" s="24"/>
    </row>
    <row r="495" spans="13:13" x14ac:dyDescent="0.3">
      <c r="M495" s="24"/>
    </row>
    <row r="496" spans="13:13" x14ac:dyDescent="0.3">
      <c r="M496" s="24"/>
    </row>
    <row r="497" spans="13:13" x14ac:dyDescent="0.3">
      <c r="M497" s="24"/>
    </row>
    <row r="498" spans="13:13" x14ac:dyDescent="0.3">
      <c r="M498" s="24"/>
    </row>
    <row r="499" spans="13:13" x14ac:dyDescent="0.3">
      <c r="M499" s="24"/>
    </row>
    <row r="500" spans="13:13" x14ac:dyDescent="0.3">
      <c r="M500" s="24"/>
    </row>
    <row r="501" spans="13:13" x14ac:dyDescent="0.3">
      <c r="M501" s="24"/>
    </row>
    <row r="502" spans="13:13" x14ac:dyDescent="0.3">
      <c r="M502" s="24"/>
    </row>
    <row r="503" spans="13:13" x14ac:dyDescent="0.3">
      <c r="M503" s="24"/>
    </row>
    <row r="504" spans="13:13" x14ac:dyDescent="0.3">
      <c r="M504" s="24"/>
    </row>
    <row r="505" spans="13:13" x14ac:dyDescent="0.3">
      <c r="M505" s="24"/>
    </row>
    <row r="506" spans="13:13" x14ac:dyDescent="0.3">
      <c r="M506" s="24"/>
    </row>
    <row r="507" spans="13:13" x14ac:dyDescent="0.3">
      <c r="M507" s="24"/>
    </row>
    <row r="508" spans="13:13" x14ac:dyDescent="0.3">
      <c r="M508" s="24"/>
    </row>
    <row r="509" spans="13:13" x14ac:dyDescent="0.3">
      <c r="M509" s="24"/>
    </row>
    <row r="510" spans="13:13" x14ac:dyDescent="0.3">
      <c r="M510" s="24"/>
    </row>
    <row r="511" spans="13:13" x14ac:dyDescent="0.3">
      <c r="M511" s="24"/>
    </row>
    <row r="512" spans="13:13" x14ac:dyDescent="0.3">
      <c r="M512" s="24"/>
    </row>
    <row r="513" spans="13:13" x14ac:dyDescent="0.3">
      <c r="M513" s="24"/>
    </row>
    <row r="514" spans="13:13" x14ac:dyDescent="0.3">
      <c r="M514" s="24"/>
    </row>
    <row r="515" spans="13:13" x14ac:dyDescent="0.3">
      <c r="M515" s="24"/>
    </row>
    <row r="516" spans="13:13" x14ac:dyDescent="0.3">
      <c r="M516" s="24"/>
    </row>
    <row r="517" spans="13:13" x14ac:dyDescent="0.3">
      <c r="M517" s="24"/>
    </row>
    <row r="518" spans="13:13" x14ac:dyDescent="0.3">
      <c r="M518" s="24"/>
    </row>
    <row r="519" spans="13:13" x14ac:dyDescent="0.3">
      <c r="M519" s="24"/>
    </row>
    <row r="520" spans="13:13" x14ac:dyDescent="0.3">
      <c r="M520" s="24"/>
    </row>
    <row r="521" spans="13:13" x14ac:dyDescent="0.3">
      <c r="M521" s="24"/>
    </row>
    <row r="522" spans="13:13" x14ac:dyDescent="0.3">
      <c r="M522" s="24"/>
    </row>
    <row r="523" spans="13:13" x14ac:dyDescent="0.3">
      <c r="M523" s="24"/>
    </row>
    <row r="524" spans="13:13" x14ac:dyDescent="0.3">
      <c r="M524" s="24"/>
    </row>
    <row r="525" spans="13:13" x14ac:dyDescent="0.3">
      <c r="M525" s="24"/>
    </row>
    <row r="526" spans="13:13" x14ac:dyDescent="0.3">
      <c r="M526" s="24"/>
    </row>
    <row r="527" spans="13:13" x14ac:dyDescent="0.3">
      <c r="M527" s="24"/>
    </row>
    <row r="528" spans="13:13" x14ac:dyDescent="0.3">
      <c r="M528" s="24"/>
    </row>
    <row r="529" spans="13:13" x14ac:dyDescent="0.3">
      <c r="M529" s="24"/>
    </row>
    <row r="530" spans="13:13" x14ac:dyDescent="0.3">
      <c r="M530" s="24"/>
    </row>
    <row r="531" spans="13:13" x14ac:dyDescent="0.3">
      <c r="M531" s="24"/>
    </row>
    <row r="532" spans="13:13" x14ac:dyDescent="0.3">
      <c r="M532" s="24"/>
    </row>
    <row r="533" spans="13:13" x14ac:dyDescent="0.3">
      <c r="M533" s="24"/>
    </row>
    <row r="534" spans="13:13" x14ac:dyDescent="0.3">
      <c r="M534" s="24"/>
    </row>
    <row r="535" spans="13:13" x14ac:dyDescent="0.3">
      <c r="M535" s="24"/>
    </row>
    <row r="536" spans="13:13" x14ac:dyDescent="0.3">
      <c r="M536" s="24"/>
    </row>
    <row r="537" spans="13:13" x14ac:dyDescent="0.3">
      <c r="M537" s="24"/>
    </row>
    <row r="538" spans="13:13" x14ac:dyDescent="0.3">
      <c r="M538" s="24"/>
    </row>
    <row r="539" spans="13:13" x14ac:dyDescent="0.3">
      <c r="M539" s="24"/>
    </row>
    <row r="540" spans="13:13" x14ac:dyDescent="0.3">
      <c r="M540" s="24"/>
    </row>
    <row r="541" spans="13:13" x14ac:dyDescent="0.3">
      <c r="M541" s="24"/>
    </row>
    <row r="542" spans="13:13" x14ac:dyDescent="0.3">
      <c r="M542" s="24"/>
    </row>
    <row r="543" spans="13:13" x14ac:dyDescent="0.3">
      <c r="M543" s="24"/>
    </row>
    <row r="544" spans="13:13" x14ac:dyDescent="0.3">
      <c r="M544" s="24"/>
    </row>
    <row r="545" spans="13:13" x14ac:dyDescent="0.3">
      <c r="M545" s="24"/>
    </row>
    <row r="546" spans="13:13" x14ac:dyDescent="0.3">
      <c r="M546" s="24"/>
    </row>
    <row r="547" spans="13:13" x14ac:dyDescent="0.3">
      <c r="M547" s="24"/>
    </row>
    <row r="548" spans="13:13" x14ac:dyDescent="0.3">
      <c r="M548" s="24"/>
    </row>
    <row r="549" spans="13:13" x14ac:dyDescent="0.3">
      <c r="M549" s="24"/>
    </row>
    <row r="550" spans="13:13" x14ac:dyDescent="0.3">
      <c r="M550" s="24"/>
    </row>
    <row r="551" spans="13:13" x14ac:dyDescent="0.3">
      <c r="M551" s="24"/>
    </row>
    <row r="552" spans="13:13" x14ac:dyDescent="0.3">
      <c r="M552" s="24"/>
    </row>
    <row r="553" spans="13:13" x14ac:dyDescent="0.3">
      <c r="M553" s="24"/>
    </row>
    <row r="554" spans="13:13" x14ac:dyDescent="0.3">
      <c r="M554" s="24"/>
    </row>
    <row r="555" spans="13:13" x14ac:dyDescent="0.3">
      <c r="M555" s="24"/>
    </row>
    <row r="556" spans="13:13" x14ac:dyDescent="0.3">
      <c r="M556" s="24"/>
    </row>
    <row r="557" spans="13:13" x14ac:dyDescent="0.3">
      <c r="M557" s="24"/>
    </row>
    <row r="558" spans="13:13" x14ac:dyDescent="0.3">
      <c r="M558" s="24"/>
    </row>
    <row r="559" spans="13:13" x14ac:dyDescent="0.3">
      <c r="M559" s="24"/>
    </row>
    <row r="560" spans="13:13" x14ac:dyDescent="0.3">
      <c r="M560" s="24"/>
    </row>
    <row r="561" spans="13:13" x14ac:dyDescent="0.3">
      <c r="M561" s="24"/>
    </row>
    <row r="562" spans="13:13" x14ac:dyDescent="0.3">
      <c r="M562" s="24"/>
    </row>
    <row r="563" spans="13:13" x14ac:dyDescent="0.3">
      <c r="M563" s="24"/>
    </row>
    <row r="564" spans="13:13" x14ac:dyDescent="0.3">
      <c r="M564" s="24"/>
    </row>
    <row r="565" spans="13:13" x14ac:dyDescent="0.3">
      <c r="M565" s="24"/>
    </row>
    <row r="566" spans="13:13" x14ac:dyDescent="0.3">
      <c r="M566" s="24"/>
    </row>
    <row r="567" spans="13:13" x14ac:dyDescent="0.3">
      <c r="M567" s="24"/>
    </row>
    <row r="568" spans="13:13" x14ac:dyDescent="0.3">
      <c r="M568" s="24"/>
    </row>
    <row r="569" spans="13:13" x14ac:dyDescent="0.3">
      <c r="M569" s="24"/>
    </row>
    <row r="570" spans="13:13" x14ac:dyDescent="0.3">
      <c r="M570" s="24"/>
    </row>
    <row r="571" spans="13:13" x14ac:dyDescent="0.3">
      <c r="M571" s="24"/>
    </row>
    <row r="572" spans="13:13" x14ac:dyDescent="0.3">
      <c r="M572" s="24"/>
    </row>
    <row r="573" spans="13:13" x14ac:dyDescent="0.3">
      <c r="M573" s="24"/>
    </row>
    <row r="574" spans="13:13" x14ac:dyDescent="0.3">
      <c r="M574" s="24"/>
    </row>
    <row r="575" spans="13:13" x14ac:dyDescent="0.3">
      <c r="M575" s="24"/>
    </row>
    <row r="576" spans="13:13" x14ac:dyDescent="0.3">
      <c r="M576" s="24"/>
    </row>
    <row r="577" spans="13:13" x14ac:dyDescent="0.3">
      <c r="M577" s="24"/>
    </row>
    <row r="578" spans="13:13" x14ac:dyDescent="0.3">
      <c r="M578" s="24"/>
    </row>
    <row r="579" spans="13:13" x14ac:dyDescent="0.3">
      <c r="M579" s="24"/>
    </row>
    <row r="580" spans="13:13" x14ac:dyDescent="0.3">
      <c r="M580" s="24"/>
    </row>
    <row r="581" spans="13:13" x14ac:dyDescent="0.3">
      <c r="M581" s="24"/>
    </row>
    <row r="582" spans="13:13" x14ac:dyDescent="0.3">
      <c r="M582" s="24"/>
    </row>
    <row r="583" spans="13:13" x14ac:dyDescent="0.3">
      <c r="M583" s="24"/>
    </row>
    <row r="584" spans="13:13" x14ac:dyDescent="0.3">
      <c r="M584" s="24"/>
    </row>
    <row r="585" spans="13:13" x14ac:dyDescent="0.3">
      <c r="M585" s="24"/>
    </row>
    <row r="586" spans="13:13" x14ac:dyDescent="0.3">
      <c r="M586" s="24"/>
    </row>
    <row r="587" spans="13:13" x14ac:dyDescent="0.3">
      <c r="M587" s="24"/>
    </row>
    <row r="588" spans="13:13" x14ac:dyDescent="0.3">
      <c r="M588" s="24"/>
    </row>
    <row r="589" spans="13:13" x14ac:dyDescent="0.3">
      <c r="M589" s="24"/>
    </row>
    <row r="590" spans="13:13" x14ac:dyDescent="0.3">
      <c r="M590" s="24"/>
    </row>
    <row r="591" spans="13:13" x14ac:dyDescent="0.3">
      <c r="M591" s="24"/>
    </row>
    <row r="592" spans="13:13" x14ac:dyDescent="0.3">
      <c r="M592" s="24"/>
    </row>
    <row r="593" spans="13:13" x14ac:dyDescent="0.3">
      <c r="M593" s="24"/>
    </row>
    <row r="594" spans="13:13" x14ac:dyDescent="0.3">
      <c r="M594" s="24"/>
    </row>
    <row r="595" spans="13:13" x14ac:dyDescent="0.3">
      <c r="M595" s="24"/>
    </row>
    <row r="596" spans="13:13" x14ac:dyDescent="0.3">
      <c r="M596" s="24"/>
    </row>
    <row r="597" spans="13:13" x14ac:dyDescent="0.3">
      <c r="M597" s="24"/>
    </row>
    <row r="598" spans="13:13" x14ac:dyDescent="0.3">
      <c r="M598" s="24"/>
    </row>
    <row r="599" spans="13:13" x14ac:dyDescent="0.3">
      <c r="M599" s="24"/>
    </row>
    <row r="600" spans="13:13" x14ac:dyDescent="0.3">
      <c r="M600" s="24"/>
    </row>
    <row r="601" spans="13:13" x14ac:dyDescent="0.3">
      <c r="M601" s="24"/>
    </row>
    <row r="602" spans="13:13" x14ac:dyDescent="0.3">
      <c r="M602" s="24"/>
    </row>
    <row r="603" spans="13:13" x14ac:dyDescent="0.3">
      <c r="M603" s="24"/>
    </row>
    <row r="604" spans="13:13" x14ac:dyDescent="0.3">
      <c r="M604" s="24"/>
    </row>
    <row r="605" spans="13:13" x14ac:dyDescent="0.3">
      <c r="M605" s="24"/>
    </row>
    <row r="606" spans="13:13" x14ac:dyDescent="0.3">
      <c r="M606" s="24"/>
    </row>
    <row r="607" spans="13:13" x14ac:dyDescent="0.3">
      <c r="M607" s="24"/>
    </row>
    <row r="608" spans="13:13" x14ac:dyDescent="0.3">
      <c r="M608" s="24"/>
    </row>
    <row r="609" spans="13:13" x14ac:dyDescent="0.3">
      <c r="M609" s="24"/>
    </row>
    <row r="610" spans="13:13" x14ac:dyDescent="0.3">
      <c r="M610" s="24"/>
    </row>
    <row r="611" spans="13:13" x14ac:dyDescent="0.3">
      <c r="M611" s="24"/>
    </row>
    <row r="612" spans="13:13" x14ac:dyDescent="0.3">
      <c r="M612" s="24"/>
    </row>
    <row r="613" spans="13:13" x14ac:dyDescent="0.3">
      <c r="M613" s="24"/>
    </row>
    <row r="614" spans="13:13" x14ac:dyDescent="0.3">
      <c r="M614" s="24"/>
    </row>
    <row r="615" spans="13:13" x14ac:dyDescent="0.3">
      <c r="M615" s="24"/>
    </row>
    <row r="616" spans="13:13" x14ac:dyDescent="0.3">
      <c r="M616" s="24"/>
    </row>
    <row r="617" spans="13:13" x14ac:dyDescent="0.3">
      <c r="M617" s="24"/>
    </row>
    <row r="618" spans="13:13" x14ac:dyDescent="0.3">
      <c r="M618" s="24"/>
    </row>
    <row r="619" spans="13:13" x14ac:dyDescent="0.3">
      <c r="M619" s="24"/>
    </row>
    <row r="620" spans="13:13" x14ac:dyDescent="0.3">
      <c r="M620" s="24"/>
    </row>
    <row r="621" spans="13:13" x14ac:dyDescent="0.3">
      <c r="M621" s="24"/>
    </row>
    <row r="622" spans="13:13" x14ac:dyDescent="0.3">
      <c r="M622" s="24"/>
    </row>
    <row r="623" spans="13:13" x14ac:dyDescent="0.3">
      <c r="M623" s="24"/>
    </row>
    <row r="624" spans="13:13" x14ac:dyDescent="0.3">
      <c r="M624" s="24"/>
    </row>
    <row r="625" spans="13:13" x14ac:dyDescent="0.3">
      <c r="M625" s="24"/>
    </row>
    <row r="626" spans="13:13" x14ac:dyDescent="0.3">
      <c r="M626" s="24"/>
    </row>
    <row r="627" spans="13:13" x14ac:dyDescent="0.3">
      <c r="M627" s="24"/>
    </row>
    <row r="628" spans="13:13" x14ac:dyDescent="0.3">
      <c r="M628" s="24"/>
    </row>
    <row r="629" spans="13:13" x14ac:dyDescent="0.3">
      <c r="M629" s="24"/>
    </row>
    <row r="630" spans="13:13" x14ac:dyDescent="0.3">
      <c r="M630" s="24"/>
    </row>
    <row r="631" spans="13:13" x14ac:dyDescent="0.3">
      <c r="M631" s="24"/>
    </row>
    <row r="632" spans="13:13" x14ac:dyDescent="0.3">
      <c r="M632" s="24"/>
    </row>
    <row r="633" spans="13:13" x14ac:dyDescent="0.3">
      <c r="M633" s="24"/>
    </row>
    <row r="634" spans="13:13" x14ac:dyDescent="0.3">
      <c r="M634" s="24"/>
    </row>
    <row r="635" spans="13:13" x14ac:dyDescent="0.3">
      <c r="M635" s="24"/>
    </row>
    <row r="636" spans="13:13" x14ac:dyDescent="0.3">
      <c r="M636" s="24"/>
    </row>
    <row r="637" spans="13:13" x14ac:dyDescent="0.3">
      <c r="M637" s="24"/>
    </row>
    <row r="638" spans="13:13" x14ac:dyDescent="0.3">
      <c r="M638" s="24"/>
    </row>
    <row r="639" spans="13:13" x14ac:dyDescent="0.3">
      <c r="M639" s="24"/>
    </row>
    <row r="640" spans="13:13" x14ac:dyDescent="0.3">
      <c r="M640" s="24"/>
    </row>
    <row r="641" spans="13:13" x14ac:dyDescent="0.3">
      <c r="M641" s="24"/>
    </row>
    <row r="642" spans="13:13" x14ac:dyDescent="0.3">
      <c r="M642" s="24"/>
    </row>
    <row r="643" spans="13:13" x14ac:dyDescent="0.3">
      <c r="M643" s="24"/>
    </row>
    <row r="644" spans="13:13" x14ac:dyDescent="0.3">
      <c r="M644" s="24"/>
    </row>
    <row r="645" spans="13:13" x14ac:dyDescent="0.3">
      <c r="M645" s="24"/>
    </row>
    <row r="646" spans="13:13" x14ac:dyDescent="0.3">
      <c r="M646" s="24"/>
    </row>
    <row r="647" spans="13:13" x14ac:dyDescent="0.3">
      <c r="M647" s="24"/>
    </row>
    <row r="648" spans="13:13" x14ac:dyDescent="0.3">
      <c r="M648" s="24"/>
    </row>
    <row r="649" spans="13:13" x14ac:dyDescent="0.3">
      <c r="M649" s="24"/>
    </row>
    <row r="650" spans="13:13" x14ac:dyDescent="0.3">
      <c r="M650" s="24"/>
    </row>
    <row r="651" spans="13:13" x14ac:dyDescent="0.3">
      <c r="M651" s="24"/>
    </row>
    <row r="652" spans="13:13" x14ac:dyDescent="0.3">
      <c r="M652" s="24"/>
    </row>
    <row r="653" spans="13:13" x14ac:dyDescent="0.3">
      <c r="M653" s="24"/>
    </row>
    <row r="654" spans="13:13" x14ac:dyDescent="0.3">
      <c r="M654" s="24"/>
    </row>
    <row r="655" spans="13:13" x14ac:dyDescent="0.3">
      <c r="M655" s="24"/>
    </row>
    <row r="656" spans="13:13" x14ac:dyDescent="0.3">
      <c r="M656" s="24"/>
    </row>
    <row r="657" spans="13:13" x14ac:dyDescent="0.3">
      <c r="M657" s="24"/>
    </row>
    <row r="658" spans="13:13" x14ac:dyDescent="0.3">
      <c r="M658" s="24"/>
    </row>
    <row r="659" spans="13:13" x14ac:dyDescent="0.3">
      <c r="M659" s="24"/>
    </row>
    <row r="660" spans="13:13" x14ac:dyDescent="0.3">
      <c r="M660" s="24"/>
    </row>
    <row r="661" spans="13:13" x14ac:dyDescent="0.3">
      <c r="M661" s="24"/>
    </row>
    <row r="662" spans="13:13" x14ac:dyDescent="0.3">
      <c r="M662" s="24"/>
    </row>
    <row r="663" spans="13:13" x14ac:dyDescent="0.3">
      <c r="M663" s="24"/>
    </row>
    <row r="664" spans="13:13" x14ac:dyDescent="0.3">
      <c r="M664" s="24"/>
    </row>
    <row r="665" spans="13:13" x14ac:dyDescent="0.3">
      <c r="M665" s="24"/>
    </row>
    <row r="666" spans="13:13" x14ac:dyDescent="0.3">
      <c r="M666" s="24"/>
    </row>
    <row r="667" spans="13:13" x14ac:dyDescent="0.3">
      <c r="M667" s="24"/>
    </row>
    <row r="668" spans="13:13" x14ac:dyDescent="0.3">
      <c r="M668" s="24"/>
    </row>
    <row r="669" spans="13:13" x14ac:dyDescent="0.3">
      <c r="M669" s="24"/>
    </row>
    <row r="670" spans="13:13" x14ac:dyDescent="0.3">
      <c r="M670" s="24"/>
    </row>
    <row r="671" spans="13:13" x14ac:dyDescent="0.3">
      <c r="M671" s="24"/>
    </row>
    <row r="672" spans="13:13" x14ac:dyDescent="0.3">
      <c r="M672" s="24"/>
    </row>
    <row r="673" spans="13:13" x14ac:dyDescent="0.3">
      <c r="M673" s="24"/>
    </row>
    <row r="674" spans="13:13" x14ac:dyDescent="0.3">
      <c r="M674" s="24"/>
    </row>
    <row r="675" spans="13:13" x14ac:dyDescent="0.3">
      <c r="M675" s="24"/>
    </row>
    <row r="676" spans="13:13" x14ac:dyDescent="0.3">
      <c r="M676" s="24"/>
    </row>
    <row r="677" spans="13:13" x14ac:dyDescent="0.3">
      <c r="M677" s="24"/>
    </row>
    <row r="678" spans="13:13" x14ac:dyDescent="0.3">
      <c r="M678" s="24"/>
    </row>
    <row r="679" spans="13:13" x14ac:dyDescent="0.3">
      <c r="M679" s="24"/>
    </row>
    <row r="680" spans="13:13" x14ac:dyDescent="0.3">
      <c r="M680" s="24"/>
    </row>
    <row r="681" spans="13:13" x14ac:dyDescent="0.3">
      <c r="M681" s="24"/>
    </row>
    <row r="682" spans="13:13" x14ac:dyDescent="0.3">
      <c r="M682" s="24"/>
    </row>
    <row r="683" spans="13:13" x14ac:dyDescent="0.3">
      <c r="M683" s="24"/>
    </row>
    <row r="684" spans="13:13" x14ac:dyDescent="0.3">
      <c r="M684" s="24"/>
    </row>
    <row r="685" spans="13:13" x14ac:dyDescent="0.3">
      <c r="M685" s="24"/>
    </row>
    <row r="686" spans="13:13" x14ac:dyDescent="0.3">
      <c r="M686" s="24"/>
    </row>
    <row r="687" spans="13:13" x14ac:dyDescent="0.3">
      <c r="M687" s="24"/>
    </row>
    <row r="688" spans="13:13" x14ac:dyDescent="0.3">
      <c r="M688" s="24"/>
    </row>
    <row r="689" spans="13:13" x14ac:dyDescent="0.3">
      <c r="M689" s="24"/>
    </row>
    <row r="690" spans="13:13" x14ac:dyDescent="0.3">
      <c r="M690" s="24"/>
    </row>
    <row r="691" spans="13:13" x14ac:dyDescent="0.3">
      <c r="M691" s="24"/>
    </row>
    <row r="692" spans="13:13" x14ac:dyDescent="0.3">
      <c r="M692" s="24"/>
    </row>
    <row r="693" spans="13:13" x14ac:dyDescent="0.3">
      <c r="M693" s="24"/>
    </row>
    <row r="694" spans="13:13" x14ac:dyDescent="0.3">
      <c r="M694" s="24"/>
    </row>
    <row r="695" spans="13:13" x14ac:dyDescent="0.3">
      <c r="M695" s="24"/>
    </row>
    <row r="696" spans="13:13" x14ac:dyDescent="0.3">
      <c r="M696" s="24"/>
    </row>
    <row r="697" spans="13:13" x14ac:dyDescent="0.3">
      <c r="M697" s="24"/>
    </row>
    <row r="698" spans="13:13" x14ac:dyDescent="0.3">
      <c r="M698" s="24"/>
    </row>
    <row r="699" spans="13:13" x14ac:dyDescent="0.3">
      <c r="M699" s="24"/>
    </row>
    <row r="700" spans="13:13" x14ac:dyDescent="0.3">
      <c r="M700" s="24"/>
    </row>
    <row r="701" spans="13:13" x14ac:dyDescent="0.3">
      <c r="M701" s="24"/>
    </row>
    <row r="702" spans="13:13" x14ac:dyDescent="0.3">
      <c r="M702" s="24"/>
    </row>
    <row r="703" spans="13:13" x14ac:dyDescent="0.3">
      <c r="M703" s="24"/>
    </row>
    <row r="704" spans="13:13" x14ac:dyDescent="0.3">
      <c r="M704" s="24"/>
    </row>
    <row r="705" spans="13:13" x14ac:dyDescent="0.3">
      <c r="M705" s="24"/>
    </row>
    <row r="706" spans="13:13" x14ac:dyDescent="0.3">
      <c r="M706" s="24"/>
    </row>
    <row r="707" spans="13:13" x14ac:dyDescent="0.3">
      <c r="M707" s="24"/>
    </row>
    <row r="708" spans="13:13" x14ac:dyDescent="0.3">
      <c r="M708" s="24"/>
    </row>
    <row r="709" spans="13:13" x14ac:dyDescent="0.3">
      <c r="M709" s="24"/>
    </row>
    <row r="710" spans="13:13" x14ac:dyDescent="0.3">
      <c r="M710" s="24"/>
    </row>
    <row r="711" spans="13:13" x14ac:dyDescent="0.3">
      <c r="M711" s="24"/>
    </row>
    <row r="712" spans="13:13" x14ac:dyDescent="0.3">
      <c r="M712" s="24"/>
    </row>
    <row r="713" spans="13:13" x14ac:dyDescent="0.3">
      <c r="M713" s="24"/>
    </row>
    <row r="714" spans="13:13" x14ac:dyDescent="0.3">
      <c r="M714" s="24"/>
    </row>
    <row r="715" spans="13:13" x14ac:dyDescent="0.3">
      <c r="M715" s="24"/>
    </row>
    <row r="716" spans="13:13" x14ac:dyDescent="0.3">
      <c r="M716" s="24"/>
    </row>
    <row r="717" spans="13:13" x14ac:dyDescent="0.3">
      <c r="M717" s="24"/>
    </row>
    <row r="718" spans="13:13" x14ac:dyDescent="0.3">
      <c r="M718" s="24"/>
    </row>
    <row r="719" spans="13:13" x14ac:dyDescent="0.3">
      <c r="M719" s="24"/>
    </row>
    <row r="720" spans="13:13" x14ac:dyDescent="0.3">
      <c r="M720" s="24"/>
    </row>
    <row r="721" spans="13:13" x14ac:dyDescent="0.3">
      <c r="M721" s="24"/>
    </row>
    <row r="722" spans="13:13" x14ac:dyDescent="0.3">
      <c r="M722" s="24"/>
    </row>
    <row r="723" spans="13:13" x14ac:dyDescent="0.3">
      <c r="M723" s="24"/>
    </row>
    <row r="724" spans="13:13" x14ac:dyDescent="0.3">
      <c r="M724" s="24"/>
    </row>
    <row r="725" spans="13:13" x14ac:dyDescent="0.3">
      <c r="M725" s="24"/>
    </row>
    <row r="726" spans="13:13" x14ac:dyDescent="0.3">
      <c r="M726" s="24"/>
    </row>
    <row r="727" spans="13:13" x14ac:dyDescent="0.3">
      <c r="M727" s="24"/>
    </row>
    <row r="728" spans="13:13" x14ac:dyDescent="0.3">
      <c r="M728" s="24"/>
    </row>
    <row r="729" spans="13:13" x14ac:dyDescent="0.3">
      <c r="M729" s="24"/>
    </row>
    <row r="730" spans="13:13" x14ac:dyDescent="0.3">
      <c r="M730" s="24"/>
    </row>
    <row r="731" spans="13:13" x14ac:dyDescent="0.3">
      <c r="M731" s="24"/>
    </row>
    <row r="732" spans="13:13" x14ac:dyDescent="0.3">
      <c r="M732" s="24"/>
    </row>
    <row r="733" spans="13:13" x14ac:dyDescent="0.3">
      <c r="M733" s="24"/>
    </row>
    <row r="734" spans="13:13" x14ac:dyDescent="0.3">
      <c r="M734" s="24"/>
    </row>
    <row r="735" spans="13:13" x14ac:dyDescent="0.3">
      <c r="M735" s="24"/>
    </row>
    <row r="736" spans="13:13" x14ac:dyDescent="0.3">
      <c r="M736" s="24"/>
    </row>
    <row r="737" spans="13:13" x14ac:dyDescent="0.3">
      <c r="M737" s="24"/>
    </row>
    <row r="738" spans="13:13" x14ac:dyDescent="0.3">
      <c r="M738" s="24"/>
    </row>
    <row r="739" spans="13:13" x14ac:dyDescent="0.3">
      <c r="M739" s="24"/>
    </row>
    <row r="740" spans="13:13" x14ac:dyDescent="0.3">
      <c r="M740" s="24"/>
    </row>
    <row r="741" spans="13:13" x14ac:dyDescent="0.3">
      <c r="M741" s="24"/>
    </row>
    <row r="742" spans="13:13" x14ac:dyDescent="0.3">
      <c r="M742" s="24"/>
    </row>
    <row r="743" spans="13:13" x14ac:dyDescent="0.3">
      <c r="M743" s="24"/>
    </row>
    <row r="744" spans="13:13" x14ac:dyDescent="0.3">
      <c r="M744" s="24"/>
    </row>
    <row r="745" spans="13:13" x14ac:dyDescent="0.3">
      <c r="M745" s="24"/>
    </row>
    <row r="746" spans="13:13" x14ac:dyDescent="0.3">
      <c r="M746" s="24"/>
    </row>
    <row r="747" spans="13:13" x14ac:dyDescent="0.3">
      <c r="M747" s="24"/>
    </row>
    <row r="748" spans="13:13" x14ac:dyDescent="0.3">
      <c r="M748" s="24"/>
    </row>
    <row r="749" spans="13:13" x14ac:dyDescent="0.3">
      <c r="M749" s="24"/>
    </row>
    <row r="750" spans="13:13" x14ac:dyDescent="0.3">
      <c r="M750" s="24"/>
    </row>
    <row r="751" spans="13:13" x14ac:dyDescent="0.3">
      <c r="M751" s="24"/>
    </row>
    <row r="752" spans="13:13" x14ac:dyDescent="0.3">
      <c r="M752" s="24"/>
    </row>
    <row r="753" spans="13:13" x14ac:dyDescent="0.3">
      <c r="M753" s="24"/>
    </row>
    <row r="754" spans="13:13" x14ac:dyDescent="0.3">
      <c r="M754" s="24"/>
    </row>
    <row r="755" spans="13:13" x14ac:dyDescent="0.3">
      <c r="M755" s="24"/>
    </row>
    <row r="756" spans="13:13" x14ac:dyDescent="0.3">
      <c r="M756" s="24"/>
    </row>
    <row r="757" spans="13:13" x14ac:dyDescent="0.3">
      <c r="M757" s="24"/>
    </row>
    <row r="758" spans="13:13" x14ac:dyDescent="0.3">
      <c r="M758" s="24"/>
    </row>
    <row r="759" spans="13:13" x14ac:dyDescent="0.3">
      <c r="M759" s="24"/>
    </row>
    <row r="760" spans="13:13" x14ac:dyDescent="0.3">
      <c r="M760" s="24"/>
    </row>
    <row r="761" spans="13:13" x14ac:dyDescent="0.3">
      <c r="M761" s="24"/>
    </row>
    <row r="762" spans="13:13" x14ac:dyDescent="0.3">
      <c r="M762" s="24"/>
    </row>
    <row r="763" spans="13:13" x14ac:dyDescent="0.3">
      <c r="M763" s="24"/>
    </row>
    <row r="764" spans="13:13" x14ac:dyDescent="0.3">
      <c r="M764" s="24"/>
    </row>
    <row r="765" spans="13:13" x14ac:dyDescent="0.3">
      <c r="M765" s="24"/>
    </row>
    <row r="766" spans="13:13" x14ac:dyDescent="0.3">
      <c r="M766" s="24"/>
    </row>
    <row r="767" spans="13:13" x14ac:dyDescent="0.3">
      <c r="M767" s="24"/>
    </row>
    <row r="768" spans="13:13" x14ac:dyDescent="0.3">
      <c r="M768" s="24"/>
    </row>
    <row r="769" spans="13:13" x14ac:dyDescent="0.3">
      <c r="M769" s="24"/>
    </row>
    <row r="770" spans="13:13" x14ac:dyDescent="0.3">
      <c r="M770" s="24"/>
    </row>
    <row r="771" spans="13:13" x14ac:dyDescent="0.3">
      <c r="M771" s="24"/>
    </row>
    <row r="772" spans="13:13" x14ac:dyDescent="0.3">
      <c r="M772" s="24"/>
    </row>
    <row r="773" spans="13:13" x14ac:dyDescent="0.3">
      <c r="M773" s="24"/>
    </row>
    <row r="774" spans="13:13" x14ac:dyDescent="0.3">
      <c r="M774" s="24"/>
    </row>
    <row r="775" spans="13:13" x14ac:dyDescent="0.3">
      <c r="M775" s="24"/>
    </row>
    <row r="776" spans="13:13" x14ac:dyDescent="0.3">
      <c r="M776" s="24"/>
    </row>
    <row r="777" spans="13:13" x14ac:dyDescent="0.3">
      <c r="M777" s="24"/>
    </row>
    <row r="778" spans="13:13" x14ac:dyDescent="0.3">
      <c r="M778" s="24"/>
    </row>
    <row r="779" spans="13:13" x14ac:dyDescent="0.3">
      <c r="M779" s="24"/>
    </row>
    <row r="780" spans="13:13" x14ac:dyDescent="0.3">
      <c r="M780" s="24"/>
    </row>
    <row r="781" spans="13:13" x14ac:dyDescent="0.3">
      <c r="M781" s="24"/>
    </row>
    <row r="782" spans="13:13" x14ac:dyDescent="0.3">
      <c r="M782" s="24"/>
    </row>
    <row r="783" spans="13:13" x14ac:dyDescent="0.3">
      <c r="M783" s="24"/>
    </row>
    <row r="784" spans="13:13" x14ac:dyDescent="0.3">
      <c r="M784" s="24"/>
    </row>
    <row r="785" spans="13:13" x14ac:dyDescent="0.3">
      <c r="M785" s="24"/>
    </row>
    <row r="786" spans="13:13" x14ac:dyDescent="0.3">
      <c r="M786" s="24"/>
    </row>
    <row r="787" spans="13:13" x14ac:dyDescent="0.3">
      <c r="M787" s="24"/>
    </row>
    <row r="788" spans="13:13" x14ac:dyDescent="0.3">
      <c r="M788" s="24"/>
    </row>
    <row r="789" spans="13:13" x14ac:dyDescent="0.3">
      <c r="M789" s="24"/>
    </row>
    <row r="790" spans="13:13" x14ac:dyDescent="0.3">
      <c r="M790" s="24"/>
    </row>
    <row r="791" spans="13:13" x14ac:dyDescent="0.3">
      <c r="M791" s="24"/>
    </row>
    <row r="792" spans="13:13" x14ac:dyDescent="0.3">
      <c r="M792" s="24"/>
    </row>
    <row r="793" spans="13:13" x14ac:dyDescent="0.3">
      <c r="M793" s="24"/>
    </row>
    <row r="794" spans="13:13" x14ac:dyDescent="0.3">
      <c r="M794" s="24"/>
    </row>
    <row r="795" spans="13:13" x14ac:dyDescent="0.3">
      <c r="M795" s="24"/>
    </row>
    <row r="796" spans="13:13" x14ac:dyDescent="0.3">
      <c r="M796" s="24"/>
    </row>
    <row r="797" spans="13:13" x14ac:dyDescent="0.3">
      <c r="M797" s="24"/>
    </row>
    <row r="798" spans="13:13" x14ac:dyDescent="0.3">
      <c r="M798" s="24"/>
    </row>
    <row r="799" spans="13:13" x14ac:dyDescent="0.3">
      <c r="M799" s="24"/>
    </row>
    <row r="800" spans="13:13" x14ac:dyDescent="0.3">
      <c r="M800" s="24"/>
    </row>
    <row r="801" spans="13:13" x14ac:dyDescent="0.3">
      <c r="M801" s="24"/>
    </row>
    <row r="802" spans="13:13" x14ac:dyDescent="0.3">
      <c r="M802" s="24"/>
    </row>
    <row r="803" spans="13:13" x14ac:dyDescent="0.3">
      <c r="M803" s="24"/>
    </row>
    <row r="804" spans="13:13" x14ac:dyDescent="0.3">
      <c r="M804" s="24"/>
    </row>
    <row r="805" spans="13:13" x14ac:dyDescent="0.3">
      <c r="M805" s="24"/>
    </row>
    <row r="806" spans="13:13" x14ac:dyDescent="0.3">
      <c r="M806" s="24"/>
    </row>
    <row r="807" spans="13:13" x14ac:dyDescent="0.3">
      <c r="M807" s="24"/>
    </row>
    <row r="808" spans="13:13" x14ac:dyDescent="0.3">
      <c r="M808" s="24"/>
    </row>
    <row r="809" spans="13:13" x14ac:dyDescent="0.3">
      <c r="M809" s="24"/>
    </row>
    <row r="810" spans="13:13" x14ac:dyDescent="0.3">
      <c r="M810" s="24"/>
    </row>
    <row r="811" spans="13:13" x14ac:dyDescent="0.3">
      <c r="M811" s="24"/>
    </row>
    <row r="812" spans="13:13" x14ac:dyDescent="0.3">
      <c r="M812" s="24"/>
    </row>
    <row r="813" spans="13:13" x14ac:dyDescent="0.3">
      <c r="M813" s="24"/>
    </row>
    <row r="814" spans="13:13" x14ac:dyDescent="0.3">
      <c r="M814" s="24"/>
    </row>
    <row r="815" spans="13:13" x14ac:dyDescent="0.3">
      <c r="M815" s="24"/>
    </row>
    <row r="816" spans="13:13" x14ac:dyDescent="0.3">
      <c r="M816" s="24"/>
    </row>
    <row r="817" spans="13:13" x14ac:dyDescent="0.3">
      <c r="M817" s="24"/>
    </row>
    <row r="818" spans="13:13" x14ac:dyDescent="0.3">
      <c r="M818" s="24"/>
    </row>
    <row r="819" spans="13:13" x14ac:dyDescent="0.3">
      <c r="M819" s="24"/>
    </row>
    <row r="820" spans="13:13" x14ac:dyDescent="0.3">
      <c r="M820" s="24"/>
    </row>
    <row r="821" spans="13:13" x14ac:dyDescent="0.3">
      <c r="M821" s="24"/>
    </row>
    <row r="822" spans="13:13" x14ac:dyDescent="0.3">
      <c r="M822" s="24"/>
    </row>
    <row r="823" spans="13:13" x14ac:dyDescent="0.3">
      <c r="M823" s="24"/>
    </row>
    <row r="824" spans="13:13" x14ac:dyDescent="0.3">
      <c r="M824" s="24"/>
    </row>
    <row r="825" spans="13:13" x14ac:dyDescent="0.3">
      <c r="M825" s="24"/>
    </row>
    <row r="826" spans="13:13" x14ac:dyDescent="0.3">
      <c r="M826" s="24"/>
    </row>
    <row r="827" spans="13:13" x14ac:dyDescent="0.3">
      <c r="M827" s="24"/>
    </row>
    <row r="828" spans="13:13" x14ac:dyDescent="0.3">
      <c r="M828" s="24"/>
    </row>
    <row r="829" spans="13:13" x14ac:dyDescent="0.3">
      <c r="M829" s="24"/>
    </row>
    <row r="830" spans="13:13" x14ac:dyDescent="0.3">
      <c r="M830" s="24"/>
    </row>
    <row r="831" spans="13:13" x14ac:dyDescent="0.3">
      <c r="M831" s="24"/>
    </row>
    <row r="832" spans="13:13" x14ac:dyDescent="0.3">
      <c r="M832" s="24"/>
    </row>
    <row r="833" spans="13:13" x14ac:dyDescent="0.3">
      <c r="M833" s="24"/>
    </row>
    <row r="834" spans="13:13" x14ac:dyDescent="0.3">
      <c r="M834" s="24"/>
    </row>
    <row r="835" spans="13:13" x14ac:dyDescent="0.3">
      <c r="M835" s="24"/>
    </row>
    <row r="836" spans="13:13" x14ac:dyDescent="0.3">
      <c r="M836" s="24"/>
    </row>
    <row r="837" spans="13:13" x14ac:dyDescent="0.3">
      <c r="M837" s="24"/>
    </row>
    <row r="838" spans="13:13" x14ac:dyDescent="0.3">
      <c r="M838" s="24"/>
    </row>
    <row r="839" spans="13:13" x14ac:dyDescent="0.3">
      <c r="M839" s="24"/>
    </row>
    <row r="840" spans="13:13" x14ac:dyDescent="0.3">
      <c r="M840" s="24"/>
    </row>
    <row r="841" spans="13:13" x14ac:dyDescent="0.3">
      <c r="M841" s="24"/>
    </row>
    <row r="842" spans="13:13" x14ac:dyDescent="0.3">
      <c r="M842" s="24"/>
    </row>
    <row r="843" spans="13:13" x14ac:dyDescent="0.3">
      <c r="M843" s="24"/>
    </row>
    <row r="844" spans="13:13" x14ac:dyDescent="0.3">
      <c r="M844" s="24"/>
    </row>
    <row r="845" spans="13:13" x14ac:dyDescent="0.3">
      <c r="M845" s="24"/>
    </row>
    <row r="846" spans="13:13" x14ac:dyDescent="0.3">
      <c r="M846" s="24"/>
    </row>
    <row r="847" spans="13:13" x14ac:dyDescent="0.3">
      <c r="M847" s="24"/>
    </row>
    <row r="848" spans="13:13" x14ac:dyDescent="0.3">
      <c r="M848" s="24"/>
    </row>
    <row r="849" spans="13:13" x14ac:dyDescent="0.3">
      <c r="M849" s="24"/>
    </row>
    <row r="850" spans="13:13" x14ac:dyDescent="0.3">
      <c r="M850" s="24"/>
    </row>
    <row r="851" spans="13:13" x14ac:dyDescent="0.3">
      <c r="M851" s="24"/>
    </row>
    <row r="852" spans="13:13" x14ac:dyDescent="0.3">
      <c r="M852" s="24"/>
    </row>
    <row r="853" spans="13:13" x14ac:dyDescent="0.3">
      <c r="M853" s="24"/>
    </row>
    <row r="854" spans="13:13" x14ac:dyDescent="0.3">
      <c r="M854" s="24"/>
    </row>
    <row r="855" spans="13:13" x14ac:dyDescent="0.3">
      <c r="M855" s="24"/>
    </row>
    <row r="856" spans="13:13" x14ac:dyDescent="0.3">
      <c r="M856" s="24"/>
    </row>
    <row r="857" spans="13:13" x14ac:dyDescent="0.3">
      <c r="M857" s="24"/>
    </row>
    <row r="858" spans="13:13" x14ac:dyDescent="0.3">
      <c r="M858" s="24"/>
    </row>
    <row r="859" spans="13:13" x14ac:dyDescent="0.3">
      <c r="M859" s="24"/>
    </row>
    <row r="860" spans="13:13" x14ac:dyDescent="0.3">
      <c r="M860" s="24"/>
    </row>
    <row r="861" spans="13:13" x14ac:dyDescent="0.3">
      <c r="M861" s="24"/>
    </row>
    <row r="862" spans="13:13" x14ac:dyDescent="0.3">
      <c r="M862" s="24"/>
    </row>
    <row r="863" spans="13:13" x14ac:dyDescent="0.3">
      <c r="M863" s="24"/>
    </row>
    <row r="864" spans="13:13" x14ac:dyDescent="0.3">
      <c r="M864" s="24"/>
    </row>
    <row r="865" spans="13:13" x14ac:dyDescent="0.3">
      <c r="M865" s="24"/>
    </row>
    <row r="866" spans="13:13" x14ac:dyDescent="0.3">
      <c r="M866" s="24"/>
    </row>
    <row r="867" spans="13:13" x14ac:dyDescent="0.3">
      <c r="M867" s="24"/>
    </row>
    <row r="868" spans="13:13" x14ac:dyDescent="0.3">
      <c r="M868" s="24"/>
    </row>
    <row r="869" spans="13:13" x14ac:dyDescent="0.3">
      <c r="M869" s="24"/>
    </row>
    <row r="870" spans="13:13" x14ac:dyDescent="0.3">
      <c r="M870" s="24"/>
    </row>
    <row r="871" spans="13:13" x14ac:dyDescent="0.3">
      <c r="M871" s="24"/>
    </row>
    <row r="872" spans="13:13" x14ac:dyDescent="0.3">
      <c r="M872" s="24"/>
    </row>
    <row r="873" spans="13:13" x14ac:dyDescent="0.3">
      <c r="M873" s="24"/>
    </row>
    <row r="874" spans="13:13" x14ac:dyDescent="0.3">
      <c r="M874" s="24"/>
    </row>
    <row r="875" spans="13:13" x14ac:dyDescent="0.3">
      <c r="M875" s="24"/>
    </row>
    <row r="876" spans="13:13" x14ac:dyDescent="0.3">
      <c r="M876" s="24"/>
    </row>
    <row r="877" spans="13:13" x14ac:dyDescent="0.3">
      <c r="M877" s="24"/>
    </row>
    <row r="878" spans="13:13" x14ac:dyDescent="0.3">
      <c r="M878" s="24"/>
    </row>
    <row r="879" spans="13:13" x14ac:dyDescent="0.3">
      <c r="M879" s="24"/>
    </row>
    <row r="880" spans="13:13" x14ac:dyDescent="0.3">
      <c r="M880" s="24"/>
    </row>
    <row r="881" spans="13:13" x14ac:dyDescent="0.3">
      <c r="M881" s="24"/>
    </row>
    <row r="882" spans="13:13" x14ac:dyDescent="0.3">
      <c r="M882" s="24"/>
    </row>
    <row r="883" spans="13:13" x14ac:dyDescent="0.3">
      <c r="M883" s="24"/>
    </row>
    <row r="884" spans="13:13" x14ac:dyDescent="0.3">
      <c r="M884" s="24"/>
    </row>
    <row r="885" spans="13:13" x14ac:dyDescent="0.3">
      <c r="M885" s="24"/>
    </row>
    <row r="886" spans="13:13" x14ac:dyDescent="0.3">
      <c r="M886" s="24"/>
    </row>
    <row r="887" spans="13:13" x14ac:dyDescent="0.3">
      <c r="M887" s="24"/>
    </row>
    <row r="888" spans="13:13" x14ac:dyDescent="0.3">
      <c r="M888" s="24"/>
    </row>
    <row r="889" spans="13:13" x14ac:dyDescent="0.3">
      <c r="M889" s="24"/>
    </row>
    <row r="890" spans="13:13" x14ac:dyDescent="0.3">
      <c r="M890" s="24"/>
    </row>
    <row r="891" spans="13:13" x14ac:dyDescent="0.3">
      <c r="M891" s="24"/>
    </row>
    <row r="892" spans="13:13" x14ac:dyDescent="0.3">
      <c r="M892" s="24"/>
    </row>
    <row r="893" spans="13:13" x14ac:dyDescent="0.3">
      <c r="M893" s="24"/>
    </row>
    <row r="894" spans="13:13" x14ac:dyDescent="0.3">
      <c r="M894" s="24"/>
    </row>
    <row r="895" spans="13:13" x14ac:dyDescent="0.3">
      <c r="M895" s="24"/>
    </row>
    <row r="896" spans="13:13" x14ac:dyDescent="0.3">
      <c r="M896" s="24"/>
    </row>
    <row r="897" spans="13:13" x14ac:dyDescent="0.3">
      <c r="M897" s="24"/>
    </row>
    <row r="898" spans="13:13" x14ac:dyDescent="0.3">
      <c r="M898" s="24"/>
    </row>
    <row r="899" spans="13:13" x14ac:dyDescent="0.3">
      <c r="M899" s="24"/>
    </row>
    <row r="900" spans="13:13" x14ac:dyDescent="0.3">
      <c r="M900" s="24"/>
    </row>
    <row r="901" spans="13:13" x14ac:dyDescent="0.3">
      <c r="M901" s="24"/>
    </row>
    <row r="902" spans="13:13" x14ac:dyDescent="0.3">
      <c r="M902" s="24"/>
    </row>
    <row r="903" spans="13:13" x14ac:dyDescent="0.3">
      <c r="M903" s="24"/>
    </row>
    <row r="904" spans="13:13" x14ac:dyDescent="0.3">
      <c r="M904" s="24"/>
    </row>
    <row r="905" spans="13:13" x14ac:dyDescent="0.3">
      <c r="M905" s="24"/>
    </row>
    <row r="906" spans="13:13" x14ac:dyDescent="0.3">
      <c r="M906" s="24"/>
    </row>
    <row r="907" spans="13:13" x14ac:dyDescent="0.3">
      <c r="M907" s="24"/>
    </row>
    <row r="908" spans="13:13" x14ac:dyDescent="0.3">
      <c r="M908" s="24"/>
    </row>
    <row r="909" spans="13:13" x14ac:dyDescent="0.3">
      <c r="M909" s="24"/>
    </row>
    <row r="910" spans="13:13" x14ac:dyDescent="0.3">
      <c r="M910" s="24"/>
    </row>
    <row r="911" spans="13:13" x14ac:dyDescent="0.3">
      <c r="M911" s="24"/>
    </row>
    <row r="912" spans="13:13" x14ac:dyDescent="0.3">
      <c r="M912" s="24"/>
    </row>
    <row r="913" spans="13:13" x14ac:dyDescent="0.3">
      <c r="M913" s="24"/>
    </row>
    <row r="914" spans="13:13" x14ac:dyDescent="0.3">
      <c r="M914" s="24"/>
    </row>
    <row r="915" spans="13:13" x14ac:dyDescent="0.3">
      <c r="M915" s="24"/>
    </row>
    <row r="916" spans="13:13" x14ac:dyDescent="0.3">
      <c r="M916" s="24"/>
    </row>
    <row r="917" spans="13:13" x14ac:dyDescent="0.3">
      <c r="M917" s="24"/>
    </row>
    <row r="918" spans="13:13" x14ac:dyDescent="0.3">
      <c r="M918" s="24"/>
    </row>
    <row r="919" spans="13:13" x14ac:dyDescent="0.3">
      <c r="M919" s="24"/>
    </row>
    <row r="920" spans="13:13" x14ac:dyDescent="0.3">
      <c r="M920" s="24"/>
    </row>
    <row r="921" spans="13:13" x14ac:dyDescent="0.3">
      <c r="M921" s="24"/>
    </row>
    <row r="922" spans="13:13" x14ac:dyDescent="0.3">
      <c r="M922" s="24"/>
    </row>
    <row r="923" spans="13:13" x14ac:dyDescent="0.3">
      <c r="M923" s="24"/>
    </row>
    <row r="924" spans="13:13" x14ac:dyDescent="0.3">
      <c r="M924" s="24"/>
    </row>
    <row r="925" spans="13:13" x14ac:dyDescent="0.3">
      <c r="M925" s="24"/>
    </row>
    <row r="926" spans="13:13" x14ac:dyDescent="0.3">
      <c r="M926" s="24"/>
    </row>
    <row r="927" spans="13:13" x14ac:dyDescent="0.3">
      <c r="M927" s="24"/>
    </row>
    <row r="928" spans="13:13" x14ac:dyDescent="0.3">
      <c r="M928" s="24"/>
    </row>
    <row r="929" spans="13:13" x14ac:dyDescent="0.3">
      <c r="M929" s="24"/>
    </row>
    <row r="930" spans="13:13" x14ac:dyDescent="0.3">
      <c r="M930" s="24"/>
    </row>
    <row r="931" spans="13:13" x14ac:dyDescent="0.3">
      <c r="M931" s="24"/>
    </row>
    <row r="932" spans="13:13" x14ac:dyDescent="0.3">
      <c r="M932" s="24"/>
    </row>
    <row r="933" spans="13:13" x14ac:dyDescent="0.3">
      <c r="M933" s="24"/>
    </row>
    <row r="934" spans="13:13" x14ac:dyDescent="0.3">
      <c r="M934" s="24"/>
    </row>
    <row r="935" spans="13:13" x14ac:dyDescent="0.3">
      <c r="M935" s="24"/>
    </row>
    <row r="936" spans="13:13" x14ac:dyDescent="0.3">
      <c r="M936" s="24"/>
    </row>
    <row r="937" spans="13:13" x14ac:dyDescent="0.3">
      <c r="M937" s="24"/>
    </row>
    <row r="938" spans="13:13" x14ac:dyDescent="0.3">
      <c r="M938" s="24"/>
    </row>
    <row r="939" spans="13:13" x14ac:dyDescent="0.3">
      <c r="M939" s="24"/>
    </row>
    <row r="940" spans="13:13" x14ac:dyDescent="0.3">
      <c r="M940" s="24"/>
    </row>
    <row r="941" spans="13:13" x14ac:dyDescent="0.3">
      <c r="M941" s="24"/>
    </row>
    <row r="942" spans="13:13" x14ac:dyDescent="0.3">
      <c r="M942" s="24"/>
    </row>
    <row r="943" spans="13:13" x14ac:dyDescent="0.3">
      <c r="M943" s="24"/>
    </row>
    <row r="944" spans="13:13" x14ac:dyDescent="0.3">
      <c r="M944" s="24"/>
    </row>
    <row r="945" spans="13:13" x14ac:dyDescent="0.3">
      <c r="M945" s="24"/>
    </row>
    <row r="946" spans="13:13" x14ac:dyDescent="0.3">
      <c r="M946" s="24"/>
    </row>
    <row r="947" spans="13:13" x14ac:dyDescent="0.3">
      <c r="M947" s="24"/>
    </row>
    <row r="948" spans="13:13" x14ac:dyDescent="0.3">
      <c r="M948" s="24"/>
    </row>
    <row r="949" spans="13:13" x14ac:dyDescent="0.3">
      <c r="M949" s="24"/>
    </row>
    <row r="950" spans="13:13" x14ac:dyDescent="0.3">
      <c r="M950" s="24"/>
    </row>
    <row r="951" spans="13:13" x14ac:dyDescent="0.3">
      <c r="M951" s="24"/>
    </row>
    <row r="952" spans="13:13" x14ac:dyDescent="0.3">
      <c r="M952" s="24"/>
    </row>
    <row r="953" spans="13:13" x14ac:dyDescent="0.3">
      <c r="M953" s="24"/>
    </row>
    <row r="954" spans="13:13" x14ac:dyDescent="0.3">
      <c r="M954" s="24"/>
    </row>
    <row r="955" spans="13:13" x14ac:dyDescent="0.3">
      <c r="M955" s="24"/>
    </row>
    <row r="956" spans="13:13" x14ac:dyDescent="0.3">
      <c r="M956" s="24"/>
    </row>
    <row r="957" spans="13:13" x14ac:dyDescent="0.3">
      <c r="M957" s="24"/>
    </row>
    <row r="958" spans="13:13" x14ac:dyDescent="0.3">
      <c r="M958" s="24"/>
    </row>
    <row r="959" spans="13:13" x14ac:dyDescent="0.3">
      <c r="M959" s="24"/>
    </row>
    <row r="960" spans="13:13" x14ac:dyDescent="0.3">
      <c r="M960" s="24"/>
    </row>
    <row r="961" spans="13:13" x14ac:dyDescent="0.3">
      <c r="M961" s="24"/>
    </row>
    <row r="962" spans="13:13" x14ac:dyDescent="0.3">
      <c r="M962" s="24"/>
    </row>
    <row r="963" spans="13:13" x14ac:dyDescent="0.3">
      <c r="M963" s="24"/>
    </row>
    <row r="964" spans="13:13" x14ac:dyDescent="0.3">
      <c r="M964" s="24"/>
    </row>
    <row r="965" spans="13:13" x14ac:dyDescent="0.3">
      <c r="M965" s="24"/>
    </row>
    <row r="966" spans="13:13" x14ac:dyDescent="0.3">
      <c r="M966" s="24"/>
    </row>
    <row r="967" spans="13:13" x14ac:dyDescent="0.3">
      <c r="M967" s="24"/>
    </row>
    <row r="968" spans="13:13" x14ac:dyDescent="0.3">
      <c r="M968" s="24"/>
    </row>
    <row r="969" spans="13:13" x14ac:dyDescent="0.3">
      <c r="M969" s="24"/>
    </row>
    <row r="970" spans="13:13" x14ac:dyDescent="0.3">
      <c r="M970" s="24"/>
    </row>
    <row r="971" spans="13:13" x14ac:dyDescent="0.3">
      <c r="M971" s="24"/>
    </row>
    <row r="972" spans="13:13" x14ac:dyDescent="0.3">
      <c r="M972" s="24"/>
    </row>
    <row r="973" spans="13:13" x14ac:dyDescent="0.3">
      <c r="M973" s="24"/>
    </row>
    <row r="974" spans="13:13" x14ac:dyDescent="0.3">
      <c r="M974" s="24"/>
    </row>
    <row r="975" spans="13:13" x14ac:dyDescent="0.3">
      <c r="M975" s="24"/>
    </row>
    <row r="976" spans="13:13" x14ac:dyDescent="0.3">
      <c r="M976" s="24"/>
    </row>
    <row r="977" spans="13:13" x14ac:dyDescent="0.3">
      <c r="M977" s="24"/>
    </row>
    <row r="978" spans="13:13" x14ac:dyDescent="0.3">
      <c r="M978" s="24"/>
    </row>
    <row r="979" spans="13:13" x14ac:dyDescent="0.3">
      <c r="M979" s="24"/>
    </row>
    <row r="980" spans="13:13" x14ac:dyDescent="0.3">
      <c r="M980" s="24"/>
    </row>
    <row r="981" spans="13:13" x14ac:dyDescent="0.3">
      <c r="M981" s="24"/>
    </row>
    <row r="982" spans="13:13" x14ac:dyDescent="0.3">
      <c r="M982" s="24"/>
    </row>
    <row r="983" spans="13:13" x14ac:dyDescent="0.3">
      <c r="M983" s="24"/>
    </row>
    <row r="984" spans="13:13" x14ac:dyDescent="0.3">
      <c r="M984" s="24"/>
    </row>
    <row r="985" spans="13:13" x14ac:dyDescent="0.3">
      <c r="M985" s="24"/>
    </row>
    <row r="986" spans="13:13" x14ac:dyDescent="0.3">
      <c r="M986" s="24"/>
    </row>
    <row r="987" spans="13:13" x14ac:dyDescent="0.3">
      <c r="M987" s="24"/>
    </row>
    <row r="988" spans="13:13" x14ac:dyDescent="0.3">
      <c r="M988" s="24"/>
    </row>
    <row r="989" spans="13:13" x14ac:dyDescent="0.3">
      <c r="M989" s="24"/>
    </row>
    <row r="990" spans="13:13" x14ac:dyDescent="0.3">
      <c r="M990" s="24"/>
    </row>
    <row r="991" spans="13:13" x14ac:dyDescent="0.3">
      <c r="M991" s="24"/>
    </row>
    <row r="992" spans="13:13" x14ac:dyDescent="0.3">
      <c r="M992" s="24"/>
    </row>
    <row r="993" spans="13:13" x14ac:dyDescent="0.3">
      <c r="M993" s="24"/>
    </row>
    <row r="994" spans="13:13" x14ac:dyDescent="0.3">
      <c r="M994" s="24"/>
    </row>
    <row r="995" spans="13:13" x14ac:dyDescent="0.3">
      <c r="M995" s="24"/>
    </row>
    <row r="996" spans="13:13" x14ac:dyDescent="0.3">
      <c r="M996" s="24"/>
    </row>
    <row r="997" spans="13:13" x14ac:dyDescent="0.3">
      <c r="M997" s="24"/>
    </row>
    <row r="998" spans="13:13" x14ac:dyDescent="0.3">
      <c r="M998" s="24"/>
    </row>
    <row r="999" spans="13:13" x14ac:dyDescent="0.3">
      <c r="M999" s="24"/>
    </row>
    <row r="1000" spans="13:13" x14ac:dyDescent="0.3">
      <c r="M1000" s="24"/>
    </row>
    <row r="1001" spans="13:13" x14ac:dyDescent="0.3">
      <c r="M1001"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0A758-C41B-47DA-B3C7-FB933C7691E8}">
  <dimension ref="A1:Z60"/>
  <sheetViews>
    <sheetView zoomScale="90" zoomScaleNormal="90" workbookViewId="0">
      <selection activeCell="D6" sqref="D6"/>
    </sheetView>
  </sheetViews>
  <sheetFormatPr defaultRowHeight="14.4" x14ac:dyDescent="0.3"/>
  <sheetData>
    <row r="1" spans="1:26" x14ac:dyDescent="0.3">
      <c r="A1" s="37"/>
      <c r="B1" s="37"/>
      <c r="C1" s="37"/>
      <c r="D1" s="37"/>
      <c r="E1" s="37"/>
      <c r="F1" s="37"/>
      <c r="G1" s="37"/>
      <c r="H1" s="37"/>
      <c r="I1" s="37"/>
      <c r="J1" s="37"/>
      <c r="K1" s="37"/>
      <c r="L1" s="37"/>
      <c r="M1" s="37"/>
      <c r="N1" s="37"/>
      <c r="O1" s="37"/>
      <c r="P1" s="37"/>
      <c r="Q1" s="37"/>
      <c r="R1" s="37"/>
      <c r="S1" s="37"/>
      <c r="T1" s="37"/>
      <c r="U1" s="37"/>
      <c r="V1" s="37"/>
      <c r="W1" s="37"/>
      <c r="X1" s="37"/>
      <c r="Y1" s="37"/>
      <c r="Z1" s="37"/>
    </row>
    <row r="2" spans="1:26" x14ac:dyDescent="0.3">
      <c r="A2" s="37"/>
      <c r="B2" s="37"/>
      <c r="C2" s="37"/>
      <c r="D2" s="37"/>
      <c r="E2" s="37"/>
      <c r="F2" s="37"/>
      <c r="G2" s="37"/>
      <c r="H2" s="37"/>
      <c r="I2" s="37"/>
      <c r="J2" s="37"/>
      <c r="K2" s="37"/>
      <c r="L2" s="37"/>
      <c r="M2" s="37"/>
      <c r="N2" s="37"/>
      <c r="O2" s="37"/>
      <c r="P2" s="37"/>
      <c r="Q2" s="37"/>
      <c r="R2" s="37"/>
      <c r="S2" s="37"/>
      <c r="T2" s="37"/>
      <c r="U2" s="37"/>
      <c r="V2" s="37"/>
      <c r="W2" s="37"/>
      <c r="X2" s="37"/>
      <c r="Y2" s="37"/>
      <c r="Z2" s="37"/>
    </row>
    <row r="3" spans="1:26" x14ac:dyDescent="0.3">
      <c r="A3" s="37"/>
      <c r="B3" s="37"/>
      <c r="C3" s="37"/>
      <c r="D3" s="37"/>
      <c r="E3" s="37"/>
      <c r="F3" s="37"/>
      <c r="G3" s="37"/>
      <c r="H3" s="37"/>
      <c r="I3" s="37"/>
      <c r="J3" s="37"/>
      <c r="K3" s="37"/>
      <c r="L3" s="37"/>
      <c r="M3" s="37"/>
      <c r="N3" s="37"/>
      <c r="O3" s="37"/>
      <c r="P3" s="37"/>
      <c r="Q3" s="37"/>
      <c r="R3" s="37"/>
      <c r="S3" s="37"/>
      <c r="T3" s="37"/>
      <c r="U3" s="37"/>
      <c r="V3" s="37"/>
      <c r="W3" s="37"/>
      <c r="X3" s="37"/>
      <c r="Y3" s="37"/>
      <c r="Z3" s="37"/>
    </row>
    <row r="4" spans="1:26" x14ac:dyDescent="0.3">
      <c r="A4" s="37"/>
      <c r="B4" s="37"/>
      <c r="C4" s="37"/>
      <c r="D4" s="37"/>
      <c r="E4" s="37"/>
      <c r="F4" s="37"/>
      <c r="G4" s="37"/>
      <c r="H4" s="37"/>
      <c r="I4" s="37"/>
      <c r="J4" s="37"/>
      <c r="K4" s="37"/>
      <c r="L4" s="37"/>
      <c r="M4" s="37"/>
      <c r="N4" s="37"/>
      <c r="O4" s="37"/>
      <c r="P4" s="37"/>
      <c r="Q4" s="37"/>
      <c r="R4" s="37"/>
      <c r="S4" s="37"/>
      <c r="T4" s="37"/>
      <c r="U4" s="37"/>
      <c r="V4" s="37"/>
      <c r="W4" s="37"/>
      <c r="X4" s="37"/>
      <c r="Y4" s="37"/>
      <c r="Z4" s="37"/>
    </row>
    <row r="5" spans="1:26" x14ac:dyDescent="0.3">
      <c r="A5" s="37"/>
      <c r="B5" s="37"/>
      <c r="C5" s="37"/>
      <c r="D5" s="37"/>
      <c r="E5" s="37"/>
      <c r="F5" s="37"/>
      <c r="G5" s="37"/>
      <c r="H5" s="37"/>
      <c r="I5" s="37"/>
      <c r="J5" s="37"/>
      <c r="K5" s="37"/>
      <c r="L5" s="37"/>
      <c r="M5" s="37"/>
      <c r="N5" s="37"/>
      <c r="O5" s="37"/>
      <c r="P5" s="37"/>
      <c r="Q5" s="37"/>
      <c r="R5" s="37"/>
      <c r="S5" s="37"/>
      <c r="T5" s="37"/>
      <c r="U5" s="37"/>
      <c r="V5" s="37"/>
      <c r="W5" s="37"/>
      <c r="X5" s="37"/>
      <c r="Y5" s="37"/>
      <c r="Z5" s="37"/>
    </row>
    <row r="6" spans="1:26" x14ac:dyDescent="0.3">
      <c r="A6" s="37"/>
      <c r="B6" s="37"/>
      <c r="C6" s="37"/>
      <c r="D6" s="37"/>
      <c r="E6" s="37"/>
      <c r="F6" s="37"/>
      <c r="G6" s="37"/>
      <c r="H6" s="37"/>
      <c r="I6" s="37"/>
      <c r="J6" s="37"/>
      <c r="K6" s="37"/>
      <c r="L6" s="37"/>
      <c r="M6" s="37"/>
      <c r="N6" s="37"/>
      <c r="O6" s="37"/>
      <c r="P6" s="37"/>
      <c r="Q6" s="37"/>
      <c r="R6" s="37"/>
      <c r="S6" s="37"/>
      <c r="T6" s="37"/>
      <c r="U6" s="37"/>
      <c r="V6" s="37"/>
      <c r="W6" s="37"/>
      <c r="X6" s="37"/>
      <c r="Y6" s="37"/>
      <c r="Z6" s="37"/>
    </row>
    <row r="7" spans="1:26" x14ac:dyDescent="0.3">
      <c r="A7" s="37"/>
      <c r="B7" s="37"/>
      <c r="C7" s="37"/>
      <c r="D7" s="37"/>
      <c r="E7" s="37"/>
      <c r="F7" s="37"/>
      <c r="G7" s="37"/>
      <c r="H7" s="37"/>
      <c r="I7" s="37"/>
      <c r="J7" s="37"/>
      <c r="K7" s="37"/>
      <c r="L7" s="37"/>
      <c r="M7" s="37"/>
      <c r="N7" s="37"/>
      <c r="O7" s="37"/>
      <c r="P7" s="37"/>
      <c r="Q7" s="37"/>
      <c r="R7" s="37"/>
      <c r="S7" s="37"/>
      <c r="T7" s="37"/>
      <c r="U7" s="37"/>
      <c r="V7" s="37"/>
      <c r="W7" s="37"/>
      <c r="X7" s="37"/>
      <c r="Y7" s="37"/>
      <c r="Z7" s="37"/>
    </row>
    <row r="8" spans="1:26" x14ac:dyDescent="0.3">
      <c r="A8" s="37"/>
      <c r="B8" s="37"/>
      <c r="C8" s="37"/>
      <c r="D8" s="37"/>
      <c r="E8" s="37"/>
      <c r="F8" s="37"/>
      <c r="G8" s="37"/>
      <c r="H8" s="37"/>
      <c r="I8" s="37"/>
      <c r="J8" s="37"/>
      <c r="K8" s="37"/>
      <c r="L8" s="37"/>
      <c r="M8" s="37"/>
      <c r="N8" s="37"/>
      <c r="O8" s="37"/>
      <c r="P8" s="37"/>
      <c r="Q8" s="37"/>
      <c r="R8" s="37"/>
      <c r="S8" s="37"/>
      <c r="T8" s="37"/>
      <c r="U8" s="37"/>
      <c r="V8" s="37"/>
      <c r="W8" s="37"/>
      <c r="X8" s="37"/>
      <c r="Y8" s="37"/>
      <c r="Z8" s="37"/>
    </row>
    <row r="9" spans="1:26" x14ac:dyDescent="0.3">
      <c r="A9" s="37"/>
      <c r="B9" s="37"/>
      <c r="C9" s="37"/>
      <c r="D9" s="37"/>
      <c r="E9" s="37"/>
      <c r="F9" s="37"/>
      <c r="G9" s="37"/>
      <c r="H9" s="37"/>
      <c r="I9" s="37"/>
      <c r="J9" s="37"/>
      <c r="K9" s="37"/>
      <c r="L9" s="37"/>
      <c r="M9" s="37"/>
      <c r="N9" s="37"/>
      <c r="O9" s="37"/>
      <c r="P9" s="37"/>
      <c r="Q9" s="37"/>
      <c r="R9" s="37"/>
      <c r="S9" s="37"/>
      <c r="T9" s="37"/>
      <c r="U9" s="37"/>
      <c r="V9" s="37"/>
      <c r="W9" s="37"/>
      <c r="X9" s="37"/>
      <c r="Y9" s="37"/>
      <c r="Z9" s="37"/>
    </row>
    <row r="10" spans="1:26" x14ac:dyDescent="0.3">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spans="1:26" x14ac:dyDescent="0.3">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x14ac:dyDescent="0.3">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spans="1:26" x14ac:dyDescent="0.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spans="1:26" x14ac:dyDescent="0.3">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spans="1:26" x14ac:dyDescent="0.3">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spans="1:26" x14ac:dyDescent="0.3">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spans="1:26" x14ac:dyDescent="0.3">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spans="1:26" x14ac:dyDescent="0.3">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spans="1:26" x14ac:dyDescent="0.3">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spans="1:26" x14ac:dyDescent="0.3">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spans="1:26" x14ac:dyDescent="0.3">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spans="1:26" x14ac:dyDescent="0.3">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spans="1:26" x14ac:dyDescent="0.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spans="1:26" x14ac:dyDescent="0.3">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spans="1:26" x14ac:dyDescent="0.3">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spans="1:26" x14ac:dyDescent="0.3">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spans="1:26" x14ac:dyDescent="0.3">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spans="1:26" x14ac:dyDescent="0.3">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spans="1:26" x14ac:dyDescent="0.3">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spans="1:26" x14ac:dyDescent="0.3">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spans="1:26" x14ac:dyDescent="0.3">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spans="1:26" x14ac:dyDescent="0.3">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spans="1:26" x14ac:dyDescent="0.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spans="1:26" x14ac:dyDescent="0.3">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x14ac:dyDescent="0.3">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spans="1:26" x14ac:dyDescent="0.3">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spans="1:26" x14ac:dyDescent="0.3">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x14ac:dyDescent="0.3">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spans="1:26" x14ac:dyDescent="0.3">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spans="1:26" x14ac:dyDescent="0.3">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spans="1:26" x14ac:dyDescent="0.3">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spans="1:26" x14ac:dyDescent="0.3">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x14ac:dyDescent="0.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spans="1:26" x14ac:dyDescent="0.3">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spans="1:26" x14ac:dyDescent="0.3">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x14ac:dyDescent="0.3">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x14ac:dyDescent="0.3">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x14ac:dyDescent="0.3">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x14ac:dyDescent="0.3">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x14ac:dyDescent="0.3">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x14ac:dyDescent="0.3">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x14ac:dyDescent="0.3">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x14ac:dyDescent="0.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x14ac:dyDescent="0.3">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x14ac:dyDescent="0.3">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x14ac:dyDescent="0.3">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x14ac:dyDescent="0.3">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x14ac:dyDescent="0.3">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x14ac:dyDescent="0.3">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x14ac:dyDescent="0.3">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BC97C-5383-49F8-B76B-002D30FCE69A}">
  <dimension ref="B1:T6"/>
  <sheetViews>
    <sheetView tabSelected="1" workbookViewId="0">
      <selection activeCell="N14" sqref="N14"/>
    </sheetView>
  </sheetViews>
  <sheetFormatPr defaultRowHeight="14.4" x14ac:dyDescent="0.3"/>
  <sheetData>
    <row r="1" spans="2:20" ht="15" thickBot="1" x14ac:dyDescent="0.35"/>
    <row r="2" spans="2:20" ht="24.6" x14ac:dyDescent="0.4">
      <c r="B2" s="45" t="s">
        <v>1349</v>
      </c>
      <c r="C2" s="46"/>
      <c r="D2" s="46"/>
      <c r="E2" s="46"/>
      <c r="F2" s="46"/>
      <c r="G2" s="46"/>
      <c r="H2" s="46"/>
      <c r="I2" s="46"/>
      <c r="J2" s="46"/>
      <c r="K2" s="46"/>
      <c r="L2" s="46"/>
      <c r="M2" s="46"/>
      <c r="N2" s="46"/>
      <c r="O2" s="46"/>
      <c r="P2" s="46"/>
      <c r="Q2" s="46"/>
      <c r="R2" s="46"/>
      <c r="S2" s="46"/>
      <c r="T2" s="47"/>
    </row>
    <row r="3" spans="2:20" ht="23.4" x14ac:dyDescent="0.45">
      <c r="B3" s="35" t="s">
        <v>1353</v>
      </c>
      <c r="C3" s="7"/>
      <c r="D3" s="7"/>
      <c r="E3" s="7"/>
      <c r="F3" s="7"/>
      <c r="G3" s="7"/>
      <c r="H3" s="7"/>
      <c r="I3" s="7"/>
      <c r="J3" s="7"/>
      <c r="K3" s="7"/>
      <c r="L3" s="7"/>
      <c r="M3" s="7"/>
      <c r="N3" s="7"/>
      <c r="O3" s="7"/>
      <c r="P3" s="7"/>
      <c r="Q3" s="7"/>
      <c r="R3" s="7"/>
      <c r="S3" s="7"/>
      <c r="T3" s="18"/>
    </row>
    <row r="4" spans="2:20" ht="23.4" x14ac:dyDescent="0.45">
      <c r="B4" s="35" t="s">
        <v>1350</v>
      </c>
      <c r="C4" s="7"/>
      <c r="D4" s="7"/>
      <c r="E4" s="7"/>
      <c r="F4" s="7"/>
      <c r="G4" s="7"/>
      <c r="H4" s="7"/>
      <c r="I4" s="7"/>
      <c r="J4" s="7"/>
      <c r="K4" s="7"/>
      <c r="L4" s="7"/>
      <c r="M4" s="7"/>
      <c r="N4" s="7"/>
      <c r="O4" s="7"/>
      <c r="P4" s="7"/>
      <c r="Q4" s="7"/>
      <c r="R4" s="7"/>
      <c r="S4" s="7"/>
      <c r="T4" s="18"/>
    </row>
    <row r="5" spans="2:20" ht="23.4" x14ac:dyDescent="0.45">
      <c r="B5" s="35" t="s">
        <v>1351</v>
      </c>
      <c r="C5" s="7"/>
      <c r="D5" s="7"/>
      <c r="E5" s="7"/>
      <c r="F5" s="7"/>
      <c r="G5" s="7"/>
      <c r="H5" s="7"/>
      <c r="I5" s="7"/>
      <c r="J5" s="7"/>
      <c r="K5" s="7"/>
      <c r="L5" s="7"/>
      <c r="M5" s="7"/>
      <c r="N5" s="7"/>
      <c r="O5" s="7"/>
      <c r="P5" s="7"/>
      <c r="Q5" s="7"/>
      <c r="R5" s="7"/>
      <c r="S5" s="7"/>
      <c r="T5" s="18"/>
    </row>
    <row r="6" spans="2:20" ht="24" thickBot="1" x14ac:dyDescent="0.5">
      <c r="B6" s="36" t="s">
        <v>1352</v>
      </c>
      <c r="C6" s="15"/>
      <c r="D6" s="15"/>
      <c r="E6" s="15"/>
      <c r="F6" s="15"/>
      <c r="G6" s="15"/>
      <c r="H6" s="15"/>
      <c r="I6" s="15"/>
      <c r="J6" s="15"/>
      <c r="K6" s="15"/>
      <c r="L6" s="15"/>
      <c r="M6" s="15"/>
      <c r="N6" s="15"/>
      <c r="O6" s="15"/>
      <c r="P6" s="15"/>
      <c r="Q6" s="15"/>
      <c r="R6" s="15"/>
      <c r="S6" s="15"/>
      <c r="T6" s="34"/>
    </row>
  </sheetData>
  <mergeCells count="1">
    <mergeCell ref="B2:T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Sales Data</vt:lpstr>
      <vt:lpstr>Vlookup &amp; Xlookup </vt:lpstr>
      <vt:lpstr>KPI Summary</vt:lpstr>
      <vt:lpstr>Pivot Table</vt:lpstr>
      <vt:lpstr>Dashboard</vt:lpstr>
      <vt:lpstr>Business Insigts</vt:lpstr>
      <vt:lpstr>Salestable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Francis</dc:creator>
  <cp:lastModifiedBy>Rohan Francis</cp:lastModifiedBy>
  <dcterms:created xsi:type="dcterms:W3CDTF">2026-03-03T08:33:57Z</dcterms:created>
  <dcterms:modified xsi:type="dcterms:W3CDTF">2026-03-25T19:05:04Z</dcterms:modified>
</cp:coreProperties>
</file>